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erpes/Downloads/CoEvolution/"/>
    </mc:Choice>
  </mc:AlternateContent>
  <xr:revisionPtr revIDLastSave="0" documentId="13_ncr:1_{CF215B13-9E75-964B-9344-453FB0AD58D4}" xr6:coauthVersionLast="47" xr6:coauthVersionMax="47" xr10:uidLastSave="{00000000-0000-0000-0000-000000000000}"/>
  <bookViews>
    <workbookView xWindow="3600" yWindow="1500" windowWidth="27240" windowHeight="15940" xr2:uid="{2D45964A-041F-E948-A044-1A1CCF3FF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</calcChain>
</file>

<file path=xl/sharedStrings.xml><?xml version="1.0" encoding="utf-8"?>
<sst xmlns="http://schemas.openxmlformats.org/spreadsheetml/2006/main" count="103" uniqueCount="74">
  <si>
    <t>#</t>
  </si>
  <si>
    <t>Name</t>
  </si>
  <si>
    <t>Short description</t>
  </si>
  <si>
    <t>Lead</t>
  </si>
  <si>
    <t>Type</t>
  </si>
  <si>
    <t>Del. date</t>
  </si>
  <si>
    <t>D1.1</t>
  </si>
  <si>
    <t>Project Manual</t>
  </si>
  <si>
    <t>Project processes for day-to-day operations and quality management</t>
  </si>
  <si>
    <t>ICCS</t>
  </si>
  <si>
    <t>R</t>
  </si>
  <si>
    <t>M03</t>
  </si>
  <si>
    <t>D1.2</t>
  </si>
  <si>
    <t>Data Management Plan</t>
  </si>
  <si>
    <t>Data management plan (living document)</t>
  </si>
  <si>
    <t>AEGIS</t>
  </si>
  <si>
    <t>DMP</t>
  </si>
  <si>
    <t>M06</t>
  </si>
  <si>
    <t>D2.1</t>
  </si>
  <si>
    <t>Plan for impact delivery</t>
  </si>
  <si>
    <t>Communication, Dissemination and Exploitation Plan</t>
  </si>
  <si>
    <t>D3.1</t>
  </si>
  <si>
    <t>Project scope definition</t>
  </si>
  <si>
    <t>State of the art report, threat models, codified requirements and use cases</t>
  </si>
  <si>
    <t>SAP</t>
  </si>
  <si>
    <t>M12</t>
  </si>
  <si>
    <t>D3.2</t>
  </si>
  <si>
    <t>Technical specifications</t>
  </si>
  <si>
    <t>Architecture and technical specification of the framework (live document)</t>
  </si>
  <si>
    <t>ISI</t>
  </si>
  <si>
    <t>OTHER</t>
  </si>
  <si>
    <t>D2.2</t>
  </si>
  <si>
    <t>First Impact Analysis</t>
  </si>
  <si>
    <t>First report on the activities and indications on their impact</t>
  </si>
  <si>
    <t>CBRL</t>
  </si>
  <si>
    <t>M18</t>
  </si>
  <si>
    <t>D4.1</t>
  </si>
  <si>
    <t>Enablers development S&amp;T report</t>
  </si>
  <si>
    <t>Scientific and technical report of the developed tools and techniques</t>
  </si>
  <si>
    <t>UNICA</t>
  </si>
  <si>
    <t>D5.1</t>
  </si>
  <si>
    <t>Security assurance and monitoring S&amp;T report</t>
  </si>
  <si>
    <t>D6.1</t>
  </si>
  <si>
    <t>Simulator &amp; datasets</t>
  </si>
  <si>
    <t>Simulator and datasets to support R&amp;D</t>
  </si>
  <si>
    <t>AVI</t>
  </si>
  <si>
    <t>M24</t>
  </si>
  <si>
    <t>D6.2</t>
  </si>
  <si>
    <t>MVP</t>
  </si>
  <si>
    <t>A minimum viable product of the integrated framework to be validated and demonstrated</t>
  </si>
  <si>
    <t>D4.2</t>
  </si>
  <si>
    <t>Enablers repository</t>
  </si>
  <si>
    <t>SW repository with developed tools with proper documentation for prospective uptakers</t>
  </si>
  <si>
    <t>TID</t>
  </si>
  <si>
    <t>M33</t>
  </si>
  <si>
    <t>D5.2</t>
  </si>
  <si>
    <t>Security assurance and monitoring repository</t>
  </si>
  <si>
    <t>DIE</t>
  </si>
  <si>
    <t>D1.3</t>
  </si>
  <si>
    <t>Innovation management report</t>
  </si>
  <si>
    <t>M36</t>
  </si>
  <si>
    <t>D2.3</t>
  </si>
  <si>
    <t>Final Impact report</t>
  </si>
  <si>
    <t>Second report on the activities and indications on their impact</t>
  </si>
  <si>
    <t>D6.3</t>
  </si>
  <si>
    <t>Integrated framework</t>
  </si>
  <si>
    <t>Final integrated framework and prototypes</t>
  </si>
  <si>
    <t>SIE</t>
  </si>
  <si>
    <t>DEM</t>
  </si>
  <si>
    <t>D6.4</t>
  </si>
  <si>
    <t>Evaluation report</t>
  </si>
  <si>
    <t>Evalution process summary results for uptake and post-implementation support &amp; development</t>
  </si>
  <si>
    <t>SLC</t>
  </si>
  <si>
    <t>Possible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</si>
</sst>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664C-D55B-6942-834F-CA42A2B0B272}">
  <dimension ref="A1:K18"/>
  <sheetViews>
    <sheetView tabSelected="1" workbookViewId="0">
      <selection activeCell="C14" sqref="C14"/>
    </sheetView>
  </sheetViews>
  <sheetFormatPr baseColWidth="10" defaultRowHeight="16" x14ac:dyDescent="0.2"/>
  <cols>
    <col min="1" max="1" width="5" bestFit="1" customWidth="1"/>
    <col min="2" max="2" width="38.33203125" bestFit="1" customWidth="1"/>
    <col min="3" max="3" width="78.83203125" bestFit="1" customWidth="1"/>
    <col min="4" max="4" width="6.5" bestFit="1" customWidth="1"/>
    <col min="5" max="5" width="6.83203125" bestFit="1" customWidth="1"/>
    <col min="6" max="6" width="8.5" bestFit="1" customWidth="1"/>
    <col min="7" max="7" width="3.1640625" bestFit="1" customWidth="1"/>
    <col min="8" max="11" width="8.1640625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8" t="s">
        <v>73</v>
      </c>
      <c r="I1" s="8"/>
      <c r="J1" s="8"/>
      <c r="K1" s="8"/>
    </row>
    <row r="2" spans="1:11" s="6" customForma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/>
      <c r="H2" s="5">
        <v>45474</v>
      </c>
      <c r="I2" s="5">
        <v>45536</v>
      </c>
      <c r="J2" s="5">
        <v>45566</v>
      </c>
      <c r="K2" s="5">
        <v>45597</v>
      </c>
    </row>
    <row r="3" spans="1:11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3</v>
      </c>
      <c r="H3" s="2">
        <f>EDATE(H$2,$G3)-1</f>
        <v>45565</v>
      </c>
      <c r="I3" s="2">
        <f t="shared" ref="I3:K18" si="0">EDATE(I$2,$G3)-1</f>
        <v>45626</v>
      </c>
      <c r="J3" s="3">
        <f t="shared" si="0"/>
        <v>45657</v>
      </c>
      <c r="K3" s="7">
        <f t="shared" si="0"/>
        <v>45688</v>
      </c>
    </row>
    <row r="4" spans="1:11" x14ac:dyDescent="0.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>
        <v>6</v>
      </c>
      <c r="H4" s="3">
        <f t="shared" ref="H4:K18" si="1">EDATE(H$2,$G4)-1</f>
        <v>45657</v>
      </c>
      <c r="I4" s="2">
        <f t="shared" si="0"/>
        <v>45716</v>
      </c>
      <c r="J4" s="2">
        <f t="shared" si="0"/>
        <v>45747</v>
      </c>
      <c r="K4" s="2">
        <f t="shared" si="0"/>
        <v>45777</v>
      </c>
    </row>
    <row r="5" spans="1:11" x14ac:dyDescent="0.2">
      <c r="A5" s="1" t="s">
        <v>18</v>
      </c>
      <c r="B5" s="1" t="s">
        <v>19</v>
      </c>
      <c r="C5" s="1" t="s">
        <v>20</v>
      </c>
      <c r="D5" s="1" t="s">
        <v>15</v>
      </c>
      <c r="E5" s="1" t="s">
        <v>10</v>
      </c>
      <c r="F5" s="1" t="s">
        <v>17</v>
      </c>
      <c r="G5" s="1">
        <v>6</v>
      </c>
      <c r="H5" s="3">
        <f t="shared" si="1"/>
        <v>45657</v>
      </c>
      <c r="I5" s="2">
        <f t="shared" si="0"/>
        <v>45716</v>
      </c>
      <c r="J5" s="2">
        <f t="shared" si="0"/>
        <v>45747</v>
      </c>
      <c r="K5" s="2">
        <f t="shared" si="0"/>
        <v>45777</v>
      </c>
    </row>
    <row r="6" spans="1:11" x14ac:dyDescent="0.2">
      <c r="A6" s="1" t="s">
        <v>21</v>
      </c>
      <c r="B6" s="1" t="s">
        <v>22</v>
      </c>
      <c r="C6" s="1" t="s">
        <v>23</v>
      </c>
      <c r="D6" s="1" t="s">
        <v>24</v>
      </c>
      <c r="E6" s="1" t="s">
        <v>10</v>
      </c>
      <c r="F6" s="1" t="s">
        <v>25</v>
      </c>
      <c r="G6" s="1">
        <v>12</v>
      </c>
      <c r="H6" s="2">
        <f t="shared" si="1"/>
        <v>45838</v>
      </c>
      <c r="I6" s="3">
        <f t="shared" si="0"/>
        <v>45900</v>
      </c>
      <c r="J6" s="7">
        <f t="shared" si="0"/>
        <v>45930</v>
      </c>
      <c r="K6" s="2">
        <f t="shared" si="0"/>
        <v>45961</v>
      </c>
    </row>
    <row r="7" spans="1:11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25</v>
      </c>
      <c r="G7" s="1">
        <v>12</v>
      </c>
      <c r="H7" s="2">
        <f t="shared" si="1"/>
        <v>45838</v>
      </c>
      <c r="I7" s="3">
        <f t="shared" si="0"/>
        <v>45900</v>
      </c>
      <c r="J7" s="7">
        <f t="shared" si="0"/>
        <v>45930</v>
      </c>
      <c r="K7" s="2">
        <f t="shared" si="0"/>
        <v>45961</v>
      </c>
    </row>
    <row r="8" spans="1:11" x14ac:dyDescent="0.2">
      <c r="A8" s="1" t="s">
        <v>31</v>
      </c>
      <c r="B8" s="1" t="s">
        <v>32</v>
      </c>
      <c r="C8" s="1" t="s">
        <v>33</v>
      </c>
      <c r="D8" s="1" t="s">
        <v>34</v>
      </c>
      <c r="E8" s="1" t="s">
        <v>10</v>
      </c>
      <c r="F8" s="1" t="s">
        <v>35</v>
      </c>
      <c r="G8" s="1">
        <v>18</v>
      </c>
      <c r="H8" s="3">
        <f t="shared" si="1"/>
        <v>46022</v>
      </c>
      <c r="I8" s="2">
        <f t="shared" si="0"/>
        <v>46081</v>
      </c>
      <c r="J8" s="2">
        <f t="shared" si="0"/>
        <v>46112</v>
      </c>
      <c r="K8" s="2">
        <f t="shared" si="0"/>
        <v>46142</v>
      </c>
    </row>
    <row r="9" spans="1:11" x14ac:dyDescent="0.2">
      <c r="A9" s="1" t="s">
        <v>36</v>
      </c>
      <c r="B9" s="1" t="s">
        <v>37</v>
      </c>
      <c r="C9" s="1" t="s">
        <v>38</v>
      </c>
      <c r="D9" s="1" t="s">
        <v>39</v>
      </c>
      <c r="E9" s="1" t="s">
        <v>10</v>
      </c>
      <c r="F9" s="1" t="s">
        <v>35</v>
      </c>
      <c r="G9" s="1">
        <v>18</v>
      </c>
      <c r="H9" s="3">
        <f t="shared" si="1"/>
        <v>46022</v>
      </c>
      <c r="I9" s="2">
        <f t="shared" si="0"/>
        <v>46081</v>
      </c>
      <c r="J9" s="2">
        <f t="shared" si="0"/>
        <v>46112</v>
      </c>
      <c r="K9" s="2">
        <f t="shared" si="0"/>
        <v>46142</v>
      </c>
    </row>
    <row r="10" spans="1:11" x14ac:dyDescent="0.2">
      <c r="A10" s="1" t="s">
        <v>40</v>
      </c>
      <c r="B10" s="1" t="s">
        <v>41</v>
      </c>
      <c r="C10" s="1" t="s">
        <v>38</v>
      </c>
      <c r="D10" s="1" t="s">
        <v>29</v>
      </c>
      <c r="E10" s="1" t="s">
        <v>10</v>
      </c>
      <c r="F10" s="1" t="s">
        <v>35</v>
      </c>
      <c r="G10" s="1">
        <v>18</v>
      </c>
      <c r="H10" s="3">
        <f t="shared" si="1"/>
        <v>46022</v>
      </c>
      <c r="I10" s="2">
        <f t="shared" si="0"/>
        <v>46081</v>
      </c>
      <c r="J10" s="2">
        <f t="shared" si="0"/>
        <v>46112</v>
      </c>
      <c r="K10" s="2">
        <f t="shared" si="0"/>
        <v>46142</v>
      </c>
    </row>
    <row r="11" spans="1:11" x14ac:dyDescent="0.2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30</v>
      </c>
      <c r="F11" s="1" t="s">
        <v>46</v>
      </c>
      <c r="G11" s="1">
        <v>24</v>
      </c>
      <c r="H11" s="2">
        <f t="shared" si="1"/>
        <v>46203</v>
      </c>
      <c r="I11" s="3">
        <f t="shared" si="0"/>
        <v>46265</v>
      </c>
      <c r="J11" s="7">
        <f t="shared" si="0"/>
        <v>46295</v>
      </c>
      <c r="K11" s="2">
        <f t="shared" si="0"/>
        <v>46326</v>
      </c>
    </row>
    <row r="12" spans="1:11" x14ac:dyDescent="0.2">
      <c r="A12" s="1" t="s">
        <v>47</v>
      </c>
      <c r="B12" s="1" t="s">
        <v>48</v>
      </c>
      <c r="C12" s="1" t="s">
        <v>49</v>
      </c>
      <c r="D12" s="1" t="s">
        <v>15</v>
      </c>
      <c r="E12" s="1" t="s">
        <v>30</v>
      </c>
      <c r="F12" s="1" t="s">
        <v>46</v>
      </c>
      <c r="G12" s="1">
        <v>24</v>
      </c>
      <c r="H12" s="2">
        <f t="shared" si="1"/>
        <v>46203</v>
      </c>
      <c r="I12" s="3">
        <f t="shared" si="0"/>
        <v>46265</v>
      </c>
      <c r="J12" s="7">
        <f t="shared" si="0"/>
        <v>46295</v>
      </c>
      <c r="K12" s="2">
        <f t="shared" si="0"/>
        <v>46326</v>
      </c>
    </row>
    <row r="13" spans="1:11" x14ac:dyDescent="0.2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30</v>
      </c>
      <c r="F13" s="1" t="s">
        <v>54</v>
      </c>
      <c r="G13" s="1">
        <v>33</v>
      </c>
      <c r="H13" s="2">
        <f t="shared" si="1"/>
        <v>46477</v>
      </c>
      <c r="I13" s="2">
        <f t="shared" si="0"/>
        <v>46538</v>
      </c>
      <c r="J13" s="2">
        <f t="shared" si="0"/>
        <v>46568</v>
      </c>
      <c r="K13" s="2">
        <f t="shared" si="0"/>
        <v>46599</v>
      </c>
    </row>
    <row r="14" spans="1:11" x14ac:dyDescent="0.2">
      <c r="A14" s="1" t="s">
        <v>55</v>
      </c>
      <c r="B14" s="1" t="s">
        <v>56</v>
      </c>
      <c r="C14" s="1" t="s">
        <v>52</v>
      </c>
      <c r="D14" s="1" t="s">
        <v>57</v>
      </c>
      <c r="E14" s="1" t="s">
        <v>30</v>
      </c>
      <c r="F14" s="1" t="s">
        <v>54</v>
      </c>
      <c r="G14" s="1">
        <v>33</v>
      </c>
      <c r="H14" s="2">
        <f t="shared" si="1"/>
        <v>46477</v>
      </c>
      <c r="I14" s="2">
        <f t="shared" si="0"/>
        <v>46538</v>
      </c>
      <c r="J14" s="2">
        <f t="shared" si="0"/>
        <v>46568</v>
      </c>
      <c r="K14" s="2">
        <f t="shared" si="0"/>
        <v>46599</v>
      </c>
    </row>
    <row r="15" spans="1:11" x14ac:dyDescent="0.2">
      <c r="A15" s="1" t="s">
        <v>58</v>
      </c>
      <c r="B15" s="1" t="s">
        <v>59</v>
      </c>
      <c r="C15" s="1" t="s">
        <v>59</v>
      </c>
      <c r="D15" s="1" t="s">
        <v>15</v>
      </c>
      <c r="E15" s="1" t="s">
        <v>10</v>
      </c>
      <c r="F15" s="1" t="s">
        <v>60</v>
      </c>
      <c r="G15" s="1">
        <v>36</v>
      </c>
      <c r="H15" s="2">
        <f t="shared" si="1"/>
        <v>46568</v>
      </c>
      <c r="I15" s="3">
        <f t="shared" si="0"/>
        <v>46630</v>
      </c>
      <c r="J15" s="7">
        <f t="shared" si="0"/>
        <v>46660</v>
      </c>
      <c r="K15" s="2">
        <f t="shared" si="0"/>
        <v>46691</v>
      </c>
    </row>
    <row r="16" spans="1:11" x14ac:dyDescent="0.2">
      <c r="A16" s="1" t="s">
        <v>61</v>
      </c>
      <c r="B16" s="1" t="s">
        <v>62</v>
      </c>
      <c r="C16" s="1" t="s">
        <v>63</v>
      </c>
      <c r="D16" s="1" t="s">
        <v>34</v>
      </c>
      <c r="E16" s="1" t="s">
        <v>10</v>
      </c>
      <c r="F16" s="1" t="s">
        <v>60</v>
      </c>
      <c r="G16" s="1">
        <v>36</v>
      </c>
      <c r="H16" s="2">
        <f t="shared" si="1"/>
        <v>46568</v>
      </c>
      <c r="I16" s="3">
        <f t="shared" si="0"/>
        <v>46630</v>
      </c>
      <c r="J16" s="7">
        <f t="shared" si="0"/>
        <v>46660</v>
      </c>
      <c r="K16" s="2">
        <f t="shared" si="0"/>
        <v>46691</v>
      </c>
    </row>
    <row r="17" spans="1:11" x14ac:dyDescent="0.2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60</v>
      </c>
      <c r="G17" s="1">
        <v>36</v>
      </c>
      <c r="H17" s="2">
        <f t="shared" si="1"/>
        <v>46568</v>
      </c>
      <c r="I17" s="3">
        <f t="shared" si="0"/>
        <v>46630</v>
      </c>
      <c r="J17" s="7">
        <f t="shared" si="0"/>
        <v>46660</v>
      </c>
      <c r="K17" s="2">
        <f t="shared" si="0"/>
        <v>46691</v>
      </c>
    </row>
    <row r="18" spans="1:11" x14ac:dyDescent="0.2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10</v>
      </c>
      <c r="F18" s="1" t="s">
        <v>60</v>
      </c>
      <c r="G18" s="1">
        <v>36</v>
      </c>
      <c r="H18" s="2">
        <f t="shared" si="1"/>
        <v>46568</v>
      </c>
      <c r="I18" s="3">
        <f t="shared" si="0"/>
        <v>46630</v>
      </c>
      <c r="J18" s="7">
        <f t="shared" si="0"/>
        <v>46660</v>
      </c>
      <c r="K18" s="2">
        <f t="shared" si="0"/>
        <v>46691</v>
      </c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Tserpes</dc:creator>
  <cp:lastModifiedBy>Konstantinos Tserpes</cp:lastModifiedBy>
  <dcterms:created xsi:type="dcterms:W3CDTF">2024-04-18T10:33:54Z</dcterms:created>
  <dcterms:modified xsi:type="dcterms:W3CDTF">2024-04-23T15:24:26Z</dcterms:modified>
</cp:coreProperties>
</file>