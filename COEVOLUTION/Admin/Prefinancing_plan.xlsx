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<sst xmlns="http://schemas.openxmlformats.org/spreadsheetml/2006/main" count="23" uniqueCount="23">
  <si>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Partner</t>
  </si>
  <si>
    <t>Max. grant 16/11/2024</t>
  </si>
  <si>
    <t>Max. grant (after planned amendment for Upatras and BEVD)</t>
  </si>
  <si>
    <t>Prefinancing payment -16/11/2024</t>
  </si>
  <si>
    <t>Mutual Insurance Mechanism-16/11/2024</t>
  </si>
  <si>
    <t>Prefinancing to be distributed-16/11/2024</t>
  </si>
  <si>
    <t>Prefinancing to be distributed- (after planned amendment for Upatras and BEVD)</t>
  </si>
  <si>
    <t>ICCS</t>
  </si>
  <si>
    <t>ISI</t>
  </si>
  <si>
    <t>UNICA</t>
  </si>
  <si>
    <t>IMT</t>
  </si>
  <si>
    <t>UPATRAS</t>
  </si>
  <si>
    <t>SIE</t>
  </si>
  <si>
    <t>AEGIS</t>
  </si>
  <si>
    <t>TID</t>
  </si>
  <si>
    <t>UNIPI</t>
  </si>
  <si>
    <t>SLC</t>
  </si>
  <si>
    <t>AVL</t>
  </si>
  <si>
    <t>AVI</t>
  </si>
  <si>
    <t>DIE</t>
  </si>
  <si>
    <t>CBRL</t>
  </si>
  <si>
    <t>STS</t>
  </si>
  <si>
    <t>BEVD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</si>
</sst>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[$€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6" fillId="0" fontId="1" numFmtId="0" xfId="0" applyAlignment="1" applyBorder="1" applyFont="1">
      <alignment readingOrder="0"/>
    </xf>
    <xf borderId="6" fillId="0" fontId="1" numFmtId="164" xfId="0" applyAlignment="1" applyBorder="1" applyFont="1" applyNumberFormat="1">
      <alignment readingOrder="0"/>
    </xf>
    <xf borderId="7" fillId="0" fontId="1" numFmtId="164" xfId="0" applyAlignment="1" applyBorder="1" applyFont="1" applyNumberFormat="1">
      <alignment readingOrder="0"/>
    </xf>
    <xf borderId="8" fillId="0" fontId="1" numFmtId="165" xfId="0" applyAlignment="1" applyBorder="1" applyFont="1" applyNumberFormat="1">
      <alignment readingOrder="0"/>
    </xf>
    <xf borderId="9" fillId="0" fontId="1" numFmtId="165" xfId="0" applyAlignment="1" applyBorder="1" applyFont="1" applyNumberFormat="1">
      <alignment readingOrder="0"/>
    </xf>
    <xf borderId="10" fillId="0" fontId="1" numFmtId="165" xfId="0" applyBorder="1" applyFont="1" applyNumberFormat="1"/>
    <xf borderId="6" fillId="0" fontId="1" numFmtId="165" xfId="0" applyBorder="1" applyFont="1" applyNumberFormat="1"/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readingOrder="0"/>
    </xf>
    <xf borderId="3" fillId="0" fontId="1" numFmtId="10" xfId="0" applyBorder="1" applyFont="1" applyNumberFormat="1"/>
    <xf borderId="4" fillId="0" fontId="1" numFmtId="10" xfId="0" applyBorder="1" applyFont="1" applyNumberFormat="1"/>
    <xf borderId="5" fillId="0" fontId="1" numFmtId="10" xfId="0" applyBorder="1" applyFont="1" applyNumberFormat="1"/>
    <xf borderId="1" fillId="0" fontId="1" numFmtId="10" xfId="0" applyBorder="1" applyFont="1" applyNumberFormat="1"/>
    <xf borderId="6" fillId="0" fontId="2" numFmtId="0" xfId="0" applyAlignment="1" applyBorder="1" applyFont="1">
      <alignment readingOrder="0"/>
    </xf>
    <xf borderId="6" fillId="0" fontId="2" numFmtId="164" xfId="0" applyAlignment="1" applyBorder="1" applyFont="1" applyNumberFormat="1">
      <alignment readingOrder="0"/>
    </xf>
    <xf borderId="7" fillId="0" fontId="2" numFmtId="164" xfId="0" applyAlignment="1" applyBorder="1" applyFont="1" applyNumberForma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164" xfId="0" applyBorder="1" applyFont="1" applyNumberFormat="1"/>
    <xf borderId="6" fillId="0" fontId="2" numFmtId="164" xfId="0" applyBorder="1" applyFont="1" applyNumberFormat="1"/>
    <xf borderId="11" fillId="0" fontId="2" numFmtId="0" xfId="0" applyAlignment="1" applyBorder="1" applyFont="1">
      <alignment readingOrder="0"/>
    </xf>
    <xf borderId="11" fillId="0" fontId="2" numFmtId="164" xfId="0" applyAlignment="1" applyBorder="1" applyFont="1" applyNumberFormat="1">
      <alignment readingOrder="0"/>
    </xf>
    <xf borderId="12" fillId="0" fontId="2" numFmtId="164" xfId="0" applyAlignment="1" applyBorder="1" applyFont="1" applyNumberFormat="1">
      <alignment readingOrder="0"/>
    </xf>
    <xf borderId="13" fillId="0" fontId="2" numFmtId="0" xfId="0" applyBorder="1" applyFont="1"/>
    <xf borderId="14" fillId="0" fontId="2" numFmtId="0" xfId="0" applyBorder="1" applyFont="1"/>
    <xf borderId="15" fillId="0" fontId="2" numFmtId="164" xfId="0" applyBorder="1" applyFont="1" applyNumberFormat="1"/>
    <xf borderId="11" fillId="0" fontId="2" numFmtId="164" xfId="0" applyBorder="1" applyFont="1" applyNumberFormat="1"/>
    <xf borderId="16" fillId="0" fontId="2" numFmtId="0" xfId="0" applyAlignment="1" applyBorder="1" applyFont="1">
      <alignment readingOrder="0"/>
    </xf>
    <xf borderId="16" fillId="0" fontId="2" numFmtId="164" xfId="0" applyAlignment="1" applyBorder="1" applyFont="1" applyNumberFormat="1">
      <alignment readingOrder="0"/>
    </xf>
    <xf borderId="17" fillId="0" fontId="2" numFmtId="164" xfId="0" applyAlignment="1" applyBorder="1" applyFont="1" applyNumberFormat="1">
      <alignment readingOrder="0"/>
    </xf>
    <xf borderId="18" fillId="0" fontId="2" numFmtId="0" xfId="0" applyBorder="1" applyFont="1"/>
    <xf borderId="19" fillId="0" fontId="2" numFmtId="0" xfId="0" applyBorder="1" applyFont="1"/>
    <xf borderId="20" fillId="0" fontId="2" numFmtId="164" xfId="0" applyBorder="1" applyFont="1" applyNumberFormat="1"/>
    <xf borderId="16" fillId="0" fontId="2" numFmtId="164" xfId="0" applyBorder="1" applyFont="1" applyNumberFormat="1"/>
    <xf borderId="21" fillId="0" fontId="1" numFmtId="0" xfId="0" applyBorder="1" applyFont="1"/>
    <xf borderId="21" fillId="0" fontId="1" numFmtId="164" xfId="0" applyAlignment="1" applyBorder="1" applyFont="1" applyNumberFormat="1">
      <alignment readingOrder="0"/>
    </xf>
    <xf borderId="22" fillId="0" fontId="1" numFmtId="164" xfId="0" applyAlignment="1" applyBorder="1" applyFont="1" applyNumberFormat="1">
      <alignment readingOrder="0"/>
    </xf>
    <xf borderId="23" fillId="0" fontId="1" numFmtId="165" xfId="0" applyAlignment="1" applyBorder="1" applyFont="1" applyNumberFormat="1">
      <alignment readingOrder="0"/>
    </xf>
    <xf borderId="24" fillId="0" fontId="1" numFmtId="165" xfId="0" applyAlignment="1" applyBorder="1" applyFont="1" applyNumberFormat="1">
      <alignment readingOrder="0"/>
    </xf>
    <xf borderId="25" fillId="0" fontId="1" numFmtId="164" xfId="0" applyBorder="1" applyFont="1" applyNumberFormat="1"/>
    <xf borderId="21" fillId="0" fontId="1" numFmtId="164" xfId="0" applyBorder="1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</cols>
  <sheetData>
    <row r="1" ht="110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/>
      <c r="B2" s="8">
        <f t="shared" ref="B2:C2" si="1">SUM(B4:B19)</f>
        <v>5999688.75</v>
      </c>
      <c r="C2" s="9">
        <f t="shared" si="1"/>
        <v>5999688.75</v>
      </c>
      <c r="D2" s="10">
        <v>4799751.0</v>
      </c>
      <c r="E2" s="11">
        <v>299984.44</v>
      </c>
      <c r="F2" s="12">
        <f>D2-E2</f>
        <v>4499766.56</v>
      </c>
      <c r="G2" s="13">
        <f t="shared" ref="G2:G3" si="2">F2</f>
        <v>4499766.56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5"/>
      <c r="B3" s="16"/>
      <c r="C3" s="17"/>
      <c r="D3" s="18">
        <f>D2/C2</f>
        <v>0.8</v>
      </c>
      <c r="E3" s="19">
        <f>E2/C2</f>
        <v>0.05000000042</v>
      </c>
      <c r="F3" s="20">
        <f>F2/C2</f>
        <v>0.7499999996</v>
      </c>
      <c r="G3" s="21">
        <f t="shared" si="2"/>
        <v>0.7499999996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22" t="s">
        <v>7</v>
      </c>
      <c r="B4" s="23">
        <v>573582.5</v>
      </c>
      <c r="C4" s="24">
        <v>573582.5</v>
      </c>
      <c r="D4" s="25"/>
      <c r="E4" s="26"/>
      <c r="F4" s="27">
        <f t="shared" ref="F4:G4" si="3">$F$3*B4</f>
        <v>430186.8748</v>
      </c>
      <c r="G4" s="28">
        <f t="shared" si="3"/>
        <v>430186.8748</v>
      </c>
    </row>
    <row r="5">
      <c r="A5" s="29" t="s">
        <v>8</v>
      </c>
      <c r="B5" s="30">
        <v>578583.75</v>
      </c>
      <c r="C5" s="31">
        <v>578583.75</v>
      </c>
      <c r="D5" s="32"/>
      <c r="E5" s="33"/>
      <c r="F5" s="34">
        <f t="shared" ref="F5:G5" si="4">$F$3*B5</f>
        <v>433937.8123</v>
      </c>
      <c r="G5" s="35">
        <f t="shared" si="4"/>
        <v>433937.8123</v>
      </c>
    </row>
    <row r="6">
      <c r="A6" s="29" t="s">
        <v>9</v>
      </c>
      <c r="B6" s="30">
        <v>350000.0</v>
      </c>
      <c r="C6" s="31">
        <v>350000.0</v>
      </c>
      <c r="D6" s="32"/>
      <c r="E6" s="33"/>
      <c r="F6" s="34">
        <f t="shared" ref="F6:G6" si="5">$F$3*B6</f>
        <v>262499.9999</v>
      </c>
      <c r="G6" s="35">
        <f t="shared" si="5"/>
        <v>262499.9999</v>
      </c>
    </row>
    <row r="7">
      <c r="A7" s="29" t="s">
        <v>10</v>
      </c>
      <c r="B7" s="30">
        <v>301250.0</v>
      </c>
      <c r="C7" s="31">
        <v>0.0</v>
      </c>
      <c r="D7" s="32"/>
      <c r="E7" s="33"/>
      <c r="F7" s="34">
        <f t="shared" ref="F7:G7" si="6">$F$3*B7</f>
        <v>225937.4999</v>
      </c>
      <c r="G7" s="35">
        <f t="shared" si="6"/>
        <v>0</v>
      </c>
    </row>
    <row r="8">
      <c r="A8" s="29" t="s">
        <v>11</v>
      </c>
      <c r="B8" s="30">
        <v>0.0</v>
      </c>
      <c r="C8" s="31">
        <v>301250.0</v>
      </c>
      <c r="D8" s="32"/>
      <c r="E8" s="33"/>
      <c r="F8" s="34">
        <f t="shared" ref="F8:G8" si="7">$F$3*B8</f>
        <v>0</v>
      </c>
      <c r="G8" s="35">
        <f t="shared" si="7"/>
        <v>225937.4999</v>
      </c>
    </row>
    <row r="9">
      <c r="A9" s="29" t="s">
        <v>12</v>
      </c>
      <c r="B9" s="30">
        <v>634800.0</v>
      </c>
      <c r="C9" s="31">
        <v>634800.0</v>
      </c>
      <c r="D9" s="32"/>
      <c r="E9" s="33"/>
      <c r="F9" s="34">
        <f t="shared" ref="F9:G9" si="8">$F$3*B9</f>
        <v>476099.9997</v>
      </c>
      <c r="G9" s="35">
        <f t="shared" si="8"/>
        <v>476099.9997</v>
      </c>
    </row>
    <row r="10">
      <c r="A10" s="29" t="s">
        <v>13</v>
      </c>
      <c r="B10" s="30">
        <v>676333.75</v>
      </c>
      <c r="C10" s="31">
        <v>676333.75</v>
      </c>
      <c r="D10" s="32"/>
      <c r="E10" s="33"/>
      <c r="F10" s="34">
        <f t="shared" ref="F10:G10" si="9">$F$3*B10</f>
        <v>507250.3122</v>
      </c>
      <c r="G10" s="35">
        <f t="shared" si="9"/>
        <v>507250.3122</v>
      </c>
    </row>
    <row r="11">
      <c r="A11" s="29" t="s">
        <v>14</v>
      </c>
      <c r="B11" s="30">
        <v>660513.75</v>
      </c>
      <c r="C11" s="31">
        <v>660513.75</v>
      </c>
      <c r="D11" s="32"/>
      <c r="E11" s="33"/>
      <c r="F11" s="34">
        <f t="shared" ref="F11:G11" si="10">$F$3*B11</f>
        <v>495385.3122</v>
      </c>
      <c r="G11" s="35">
        <f t="shared" si="10"/>
        <v>495385.3122</v>
      </c>
    </row>
    <row r="12">
      <c r="A12" s="29" t="s">
        <v>15</v>
      </c>
      <c r="B12" s="30">
        <v>354000.0</v>
      </c>
      <c r="C12" s="31">
        <v>354000.0</v>
      </c>
      <c r="D12" s="32"/>
      <c r="E12" s="33"/>
      <c r="F12" s="34">
        <f t="shared" ref="F12:G12" si="11">$F$3*B12</f>
        <v>265499.9999</v>
      </c>
      <c r="G12" s="35">
        <f t="shared" si="11"/>
        <v>265499.9999</v>
      </c>
    </row>
    <row r="13">
      <c r="A13" s="29" t="s">
        <v>16</v>
      </c>
      <c r="B13" s="30">
        <v>284250.0</v>
      </c>
      <c r="C13" s="31">
        <v>284250.0</v>
      </c>
      <c r="D13" s="32"/>
      <c r="E13" s="33"/>
      <c r="F13" s="34">
        <f t="shared" ref="F13:G13" si="12">$F$3*B13</f>
        <v>213187.4999</v>
      </c>
      <c r="G13" s="35">
        <f t="shared" si="12"/>
        <v>213187.4999</v>
      </c>
    </row>
    <row r="14">
      <c r="A14" s="29" t="s">
        <v>17</v>
      </c>
      <c r="B14" s="30">
        <v>383250.0</v>
      </c>
      <c r="C14" s="31">
        <v>310000.0</v>
      </c>
      <c r="D14" s="32"/>
      <c r="E14" s="33"/>
      <c r="F14" s="34">
        <f t="shared" ref="F14:G14" si="13">$F$3*B14</f>
        <v>287437.4998</v>
      </c>
      <c r="G14" s="35">
        <f t="shared" si="13"/>
        <v>232499.9999</v>
      </c>
    </row>
    <row r="15">
      <c r="A15" s="29" t="s">
        <v>18</v>
      </c>
      <c r="B15" s="30">
        <v>423750.0</v>
      </c>
      <c r="C15" s="31">
        <v>423750.0</v>
      </c>
      <c r="D15" s="32"/>
      <c r="E15" s="33"/>
      <c r="F15" s="34">
        <f t="shared" ref="F15:G15" si="14">$F$3*B15</f>
        <v>317812.4998</v>
      </c>
      <c r="G15" s="35">
        <f t="shared" si="14"/>
        <v>317812.4998</v>
      </c>
    </row>
    <row r="16">
      <c r="A16" s="29" t="s">
        <v>19</v>
      </c>
      <c r="B16" s="30">
        <v>382500.0</v>
      </c>
      <c r="C16" s="31">
        <v>382500.0</v>
      </c>
      <c r="D16" s="32"/>
      <c r="E16" s="33"/>
      <c r="F16" s="34">
        <f t="shared" ref="F16:G16" si="15">$F$3*B16</f>
        <v>286874.9998</v>
      </c>
      <c r="G16" s="35">
        <f t="shared" si="15"/>
        <v>286874.9998</v>
      </c>
    </row>
    <row r="17">
      <c r="A17" s="29" t="s">
        <v>20</v>
      </c>
      <c r="B17" s="30">
        <v>396875.0</v>
      </c>
      <c r="C17" s="31">
        <v>396875.0</v>
      </c>
      <c r="D17" s="32"/>
      <c r="E17" s="33"/>
      <c r="F17" s="34">
        <f t="shared" ref="F17:G17" si="16">$F$3*B17</f>
        <v>297656.2498</v>
      </c>
      <c r="G17" s="35">
        <f t="shared" si="16"/>
        <v>297656.2498</v>
      </c>
    </row>
    <row r="18">
      <c r="A18" s="29" t="s">
        <v>21</v>
      </c>
      <c r="B18" s="30">
        <v>0.0</v>
      </c>
      <c r="C18" s="31">
        <v>0.0</v>
      </c>
      <c r="D18" s="32"/>
      <c r="E18" s="33"/>
      <c r="F18" s="34">
        <f t="shared" ref="F18:G18" si="17">$F$3*B18</f>
        <v>0</v>
      </c>
      <c r="G18" s="35">
        <f t="shared" si="17"/>
        <v>0</v>
      </c>
    </row>
    <row r="19">
      <c r="A19" s="36" t="s">
        <v>22</v>
      </c>
      <c r="B19" s="37">
        <v>0.0</v>
      </c>
      <c r="C19" s="38">
        <v>73250.0</v>
      </c>
      <c r="D19" s="39"/>
      <c r="E19" s="40"/>
      <c r="F19" s="41">
        <f t="shared" ref="F19:G19" si="18">$F$3*B19</f>
        <v>0</v>
      </c>
      <c r="G19" s="42">
        <f t="shared" si="18"/>
        <v>54937.49997</v>
      </c>
    </row>
    <row r="20">
      <c r="A20" s="43"/>
      <c r="B20" s="44"/>
      <c r="C20" s="45"/>
      <c r="D20" s="46"/>
      <c r="E20" s="47"/>
      <c r="F20" s="48">
        <f t="shared" ref="F20:G20" si="19">sum(F4:F19)</f>
        <v>4499766.56</v>
      </c>
      <c r="G20" s="49">
        <f t="shared" si="19"/>
        <v>4499766.56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B21" s="50"/>
      <c r="C21" s="50"/>
      <c r="D21" s="51"/>
      <c r="E21" s="51"/>
      <c r="F21" s="51"/>
    </row>
    <row r="22">
      <c r="B22" s="50"/>
      <c r="C22" s="50"/>
    </row>
    <row r="38">
      <c r="B38" s="52">
        <v>4000.0</v>
      </c>
      <c r="C38" s="52">
        <v>4000.0</v>
      </c>
    </row>
  </sheetData>
  <drawing r:id="rId1"/>
</worksheet>
</file>