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jnaja\Nextcloud2\AEGIS-DE\Projects\COEVOLUTION\Admin\"/>
    </mc:Choice>
  </mc:AlternateContent>
  <xr:revisionPtr revIDLastSave="0" documentId="13_ncr:1_{516BDD33-9D63-4895-9BD9-5291C3189A88}" xr6:coauthVersionLast="47" xr6:coauthVersionMax="47" xr10:uidLastSave="{00000000-0000-0000-0000-000000000000}"/>
  <bookViews>
    <workbookView xWindow="-6291" yWindow="-18617" windowWidth="33120" windowHeight="18000" firstSheet="2" activeTab="6" xr2:uid="{7332D8F6-5A74-48AC-A3D6-04FAF25E8FB3}"/>
  </bookViews>
  <sheets>
    <sheet name="Head Data" sheetId="1" r:id="rId1"/>
    <sheet name="Consortium" sheetId="9" r:id="rId2"/>
    <sheet name="Gantt" sheetId="2" r:id="rId3"/>
    <sheet name="Deliverables" sheetId="5" r:id="rId4"/>
    <sheet name="AEGIS Role" sheetId="7" r:id="rId5"/>
    <sheet name="Meetings" sheetId="3" r:id="rId6"/>
    <sheet name="Internal Meetings Log" sheetId="6" r:id="rId7"/>
    <sheet name="Effort(Old)" sheetId="8" r:id="rId8"/>
    <sheet name="SourceData" sheetId="4" state="hidden" r:id="rId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6" l="1"/>
  <c r="B2" i="2"/>
  <c r="T36" i="8"/>
  <c r="C36" i="8"/>
  <c r="B36" i="8"/>
  <c r="A36" i="8"/>
  <c r="T35" i="8"/>
  <c r="C35" i="8"/>
  <c r="B35" i="8"/>
  <c r="A35" i="8"/>
  <c r="T34" i="8"/>
  <c r="C34" i="8"/>
  <c r="B34" i="8"/>
  <c r="A34" i="8"/>
  <c r="T33" i="8"/>
  <c r="C33" i="8"/>
  <c r="B33" i="8"/>
  <c r="A33" i="8"/>
  <c r="T32" i="8"/>
  <c r="C32" i="8"/>
  <c r="B32" i="8"/>
  <c r="A32" i="8"/>
  <c r="T31" i="8"/>
  <c r="C31" i="8"/>
  <c r="B31" i="8"/>
  <c r="A31" i="8"/>
  <c r="T30" i="8"/>
  <c r="C30" i="8"/>
  <c r="B30" i="8"/>
  <c r="A30" i="8"/>
  <c r="T29" i="8"/>
  <c r="C29" i="8"/>
  <c r="B29" i="8"/>
  <c r="A29" i="8"/>
  <c r="T28" i="8"/>
  <c r="C28" i="8"/>
  <c r="B28" i="8"/>
  <c r="A28" i="8"/>
  <c r="T27" i="8"/>
  <c r="C27" i="8"/>
  <c r="B27" i="8"/>
  <c r="A27" i="8"/>
  <c r="T26" i="8"/>
  <c r="C26" i="8"/>
  <c r="B26" i="8"/>
  <c r="A26" i="8"/>
  <c r="T25" i="8"/>
  <c r="C25" i="8"/>
  <c r="B25" i="8"/>
  <c r="A25" i="8"/>
  <c r="T24" i="8"/>
  <c r="C24" i="8"/>
  <c r="B24" i="8"/>
  <c r="A24" i="8"/>
  <c r="T23" i="8"/>
  <c r="C23" i="8"/>
  <c r="B23" i="8"/>
  <c r="A23" i="8"/>
  <c r="T22" i="8"/>
  <c r="C22" i="8"/>
  <c r="B22" i="8"/>
  <c r="A22" i="8"/>
  <c r="T21" i="8"/>
  <c r="C21" i="8"/>
  <c r="B21" i="8"/>
  <c r="A21" i="8"/>
  <c r="C20" i="8"/>
  <c r="B20" i="8"/>
  <c r="A20" i="8"/>
  <c r="T19" i="8"/>
  <c r="C19" i="8"/>
  <c r="B19" i="8"/>
  <c r="A19" i="8"/>
  <c r="T18" i="8"/>
  <c r="C18" i="8"/>
  <c r="B18" i="8"/>
  <c r="A18" i="8"/>
  <c r="T17" i="8"/>
  <c r="C17" i="8"/>
  <c r="B17" i="8"/>
  <c r="A17" i="8"/>
  <c r="T16" i="8"/>
  <c r="C16" i="8"/>
  <c r="B16" i="8"/>
  <c r="A16" i="8"/>
  <c r="C15" i="8"/>
  <c r="B15" i="8"/>
  <c r="A15" i="8"/>
  <c r="T14" i="8"/>
  <c r="C14" i="8"/>
  <c r="B14" i="8"/>
  <c r="A14" i="8"/>
  <c r="T13" i="8"/>
  <c r="C13" i="8"/>
  <c r="B13" i="8"/>
  <c r="A13" i="8"/>
  <c r="T12" i="8"/>
  <c r="C12" i="8"/>
  <c r="B12" i="8"/>
  <c r="A12" i="8"/>
  <c r="T11" i="8"/>
  <c r="C11" i="8"/>
  <c r="B11" i="8"/>
  <c r="A11" i="8"/>
  <c r="T10" i="8"/>
  <c r="C10" i="8"/>
  <c r="B10" i="8"/>
  <c r="A10" i="8"/>
  <c r="C9" i="8"/>
  <c r="B9" i="8"/>
  <c r="A9" i="8"/>
  <c r="T8" i="8"/>
  <c r="C8" i="8"/>
  <c r="B8" i="8"/>
  <c r="A8" i="8"/>
  <c r="T7" i="8"/>
  <c r="C7" i="8"/>
  <c r="B7" i="8"/>
  <c r="A7" i="8"/>
  <c r="T6" i="8"/>
  <c r="C6" i="8"/>
  <c r="B6" i="8"/>
  <c r="A6" i="8"/>
  <c r="T5" i="8"/>
  <c r="C5" i="8"/>
  <c r="B5" i="8"/>
  <c r="A5" i="8"/>
  <c r="T4" i="8"/>
  <c r="C4" i="8"/>
  <c r="B4" i="8"/>
  <c r="A4" i="8"/>
  <c r="C3" i="8"/>
  <c r="B3" i="8"/>
  <c r="A3" i="8"/>
  <c r="E2" i="8"/>
  <c r="E26" i="8" s="1"/>
  <c r="F1" i="8"/>
  <c r="G1" i="8" s="1"/>
  <c r="B7" i="3"/>
  <c r="B8" i="3"/>
  <c r="B9" i="3"/>
  <c r="B10" i="3"/>
  <c r="B11" i="3"/>
  <c r="B12" i="3"/>
  <c r="B13" i="3"/>
  <c r="B14" i="3"/>
  <c r="B15" i="3"/>
  <c r="B16" i="3"/>
  <c r="B17" i="3"/>
  <c r="B18" i="3"/>
  <c r="B19" i="3"/>
  <c r="B20" i="3"/>
  <c r="B21" i="3"/>
  <c r="B22" i="3"/>
  <c r="B23" i="3"/>
  <c r="B24" i="3"/>
  <c r="B25" i="3"/>
  <c r="B26" i="3"/>
  <c r="B27" i="3"/>
  <c r="B6" i="3"/>
  <c r="B5" i="3"/>
  <c r="B6" i="6"/>
  <c r="B7" i="6"/>
  <c r="B8" i="6"/>
  <c r="B9" i="6"/>
  <c r="B10" i="6"/>
  <c r="B11" i="6"/>
  <c r="B12" i="6"/>
  <c r="B13" i="6"/>
  <c r="B14" i="6"/>
  <c r="B15" i="6"/>
  <c r="B16" i="6"/>
  <c r="B17" i="6"/>
  <c r="B18" i="6"/>
  <c r="B19" i="6"/>
  <c r="B20" i="6"/>
  <c r="B21" i="6"/>
  <c r="B22" i="6"/>
  <c r="B23" i="6"/>
  <c r="B24" i="6"/>
  <c r="B25" i="6"/>
  <c r="B26" i="6"/>
  <c r="B27" i="6"/>
  <c r="B28" i="6"/>
  <c r="B29" i="6"/>
  <c r="B30" i="6"/>
  <c r="B31" i="6"/>
  <c r="B32" i="6"/>
  <c r="B4" i="6"/>
  <c r="T37" i="8" l="1"/>
  <c r="G2" i="8"/>
  <c r="H1" i="8"/>
  <c r="E9" i="8"/>
  <c r="F2" i="8"/>
  <c r="E20" i="8"/>
  <c r="E3" i="8"/>
  <c r="E15" i="8"/>
  <c r="E32" i="8"/>
  <c r="A18" i="5"/>
  <c r="A17" i="5"/>
  <c r="A16" i="5"/>
  <c r="A15" i="5"/>
  <c r="A14" i="5"/>
  <c r="A13" i="5"/>
  <c r="A12" i="5"/>
  <c r="A11" i="5"/>
  <c r="A10" i="5"/>
  <c r="A9" i="5"/>
  <c r="A8" i="5"/>
  <c r="A7" i="5"/>
  <c r="A6" i="5"/>
  <c r="A3" i="5"/>
  <c r="A2" i="5"/>
  <c r="E37" i="8" l="1"/>
  <c r="F20" i="8"/>
  <c r="F3" i="8"/>
  <c r="F15" i="8"/>
  <c r="F9" i="8"/>
  <c r="F26" i="8"/>
  <c r="F32" i="8"/>
  <c r="H2" i="8"/>
  <c r="I1" i="8"/>
  <c r="G32" i="8"/>
  <c r="G15" i="8"/>
  <c r="G20" i="8"/>
  <c r="G3" i="8"/>
  <c r="G9" i="8"/>
  <c r="G26" i="8"/>
  <c r="G37" i="8" l="1"/>
  <c r="H32" i="8"/>
  <c r="H15" i="8"/>
  <c r="H3" i="8"/>
  <c r="H9" i="8"/>
  <c r="H26" i="8"/>
  <c r="H20" i="8"/>
  <c r="F37" i="8"/>
  <c r="J1" i="8"/>
  <c r="I2" i="8"/>
  <c r="H37" i="8" l="1"/>
  <c r="I20" i="8"/>
  <c r="I9" i="8"/>
  <c r="I26" i="8"/>
  <c r="I32" i="8"/>
  <c r="I15" i="8"/>
  <c r="I3" i="8"/>
  <c r="K1" i="8"/>
  <c r="J2" i="8"/>
  <c r="K2" i="8" l="1"/>
  <c r="L1" i="8"/>
  <c r="I37" i="8"/>
  <c r="J26" i="8"/>
  <c r="J32" i="8"/>
  <c r="J15" i="8"/>
  <c r="J3" i="8"/>
  <c r="J20" i="8"/>
  <c r="J9" i="8"/>
  <c r="K26" i="8" l="1"/>
  <c r="K32" i="8"/>
  <c r="K15" i="8"/>
  <c r="K3" i="8"/>
  <c r="K20" i="8"/>
  <c r="K9" i="8"/>
  <c r="J37" i="8"/>
  <c r="M1" i="8"/>
  <c r="L2" i="8"/>
  <c r="N1" i="8" l="1"/>
  <c r="M2" i="8"/>
  <c r="K37" i="8"/>
  <c r="L9" i="8"/>
  <c r="L32" i="8"/>
  <c r="L15" i="8"/>
  <c r="L3" i="8"/>
  <c r="L20" i="8"/>
  <c r="L26" i="8"/>
  <c r="L37" i="8" l="1"/>
  <c r="M26" i="8"/>
  <c r="M32" i="8"/>
  <c r="M15" i="8"/>
  <c r="M3" i="8"/>
  <c r="M20" i="8"/>
  <c r="M9" i="8"/>
  <c r="O1" i="8"/>
  <c r="N2" i="8"/>
  <c r="P1" i="8" l="1"/>
  <c r="O2" i="8"/>
  <c r="M37" i="8"/>
  <c r="N20" i="8"/>
  <c r="N9" i="8"/>
  <c r="N26" i="8"/>
  <c r="N32" i="8"/>
  <c r="N15" i="8"/>
  <c r="N3" i="8"/>
  <c r="O3" i="8" l="1"/>
  <c r="O15" i="8"/>
  <c r="O9" i="8"/>
  <c r="O32" i="8"/>
  <c r="O26" i="8"/>
  <c r="O20" i="8"/>
  <c r="N37" i="8"/>
  <c r="P2" i="8"/>
  <c r="Q1" i="8"/>
  <c r="O37" i="8" l="1"/>
  <c r="P32" i="8"/>
  <c r="P15" i="8"/>
  <c r="P3" i="8"/>
  <c r="P20" i="8"/>
  <c r="P9" i="8"/>
  <c r="P26" i="8"/>
  <c r="R1" i="8"/>
  <c r="Q2" i="8"/>
  <c r="P37" i="8" l="1"/>
  <c r="Q20" i="8"/>
  <c r="Q9" i="8"/>
  <c r="Q26" i="8"/>
  <c r="Q32" i="8"/>
  <c r="Q15" i="8"/>
  <c r="Q3" i="8"/>
  <c r="R2" i="8"/>
  <c r="S1" i="8"/>
  <c r="S2" i="8" s="1"/>
  <c r="Q37" i="8" l="1"/>
  <c r="R26" i="8"/>
  <c r="R9" i="8"/>
  <c r="R32" i="8"/>
  <c r="R15" i="8"/>
  <c r="R3" i="8"/>
  <c r="R20" i="8"/>
  <c r="S9" i="8"/>
  <c r="S32" i="8"/>
  <c r="S15" i="8"/>
  <c r="S3" i="8"/>
  <c r="S20" i="8"/>
  <c r="S26" i="8"/>
  <c r="R37" i="8" l="1"/>
  <c r="S37" i="8"/>
  <c r="E35" i="2" l="1"/>
  <c r="D35" i="2"/>
  <c r="E29" i="2"/>
  <c r="D29" i="2"/>
  <c r="E23" i="2"/>
  <c r="D23" i="2"/>
  <c r="E18" i="2"/>
  <c r="D18" i="2"/>
  <c r="E12" i="2"/>
  <c r="D12" i="2"/>
  <c r="E6" i="2"/>
  <c r="D6" i="2"/>
</calcChain>
</file>

<file path=xl/sharedStrings.xml><?xml version="1.0" encoding="utf-8"?>
<sst xmlns="http://schemas.openxmlformats.org/spreadsheetml/2006/main" count="605" uniqueCount="367">
  <si>
    <t>Project title</t>
  </si>
  <si>
    <t>:</t>
  </si>
  <si>
    <t>Duration</t>
  </si>
  <si>
    <t>36 months</t>
  </si>
  <si>
    <t>Call identifier</t>
  </si>
  <si>
    <t>Topic</t>
  </si>
  <si>
    <t>Type of action</t>
  </si>
  <si>
    <t>Keywords</t>
  </si>
  <si>
    <t>Starting Date</t>
  </si>
  <si>
    <t>Kick-Off Meeting</t>
  </si>
  <si>
    <t>Total Funding</t>
  </si>
  <si>
    <t>Total Budget</t>
  </si>
  <si>
    <t>Mailing Lists</t>
  </si>
  <si>
    <t>A COMPREHENSIVE TRUSTWORTHY FRAMEWORK FOR CONNECTED MACHINE LEARNING AND SECURE INTERCONNECTED AI SOLUTIONS</t>
  </si>
  <si>
    <t>HORIZON-CL3-2023-CS-01</t>
  </si>
  <si>
    <t>HORIZON-CL3-2023-CS-01-03</t>
  </si>
  <si>
    <t>Research and Innovation Actions (RIA)</t>
  </si>
  <si>
    <t>12-13 November 2024</t>
  </si>
  <si>
    <t>all-bounces@coevolution-project.eu</t>
  </si>
  <si>
    <t xml:space="preserve">Project Officer </t>
  </si>
  <si>
    <t>Project Coordinator (PC):</t>
  </si>
  <si>
    <t>Scientific-Technical-Innovation Manager (STIM):</t>
  </si>
  <si>
    <t>Dissemination and Exploitation Manager (DEM):</t>
  </si>
  <si>
    <t>Quality Assurance Manager (QAM):</t>
  </si>
  <si>
    <t>Antonis Makris (ICCS)</t>
  </si>
  <si>
    <t xml:space="preserve"> Jihane Najar (AEGIS)</t>
  </si>
  <si>
    <t xml:space="preserve">Andreea Mihaela OLTEANU </t>
  </si>
  <si>
    <t>D1.1</t>
  </si>
  <si>
    <t>D1.4</t>
  </si>
  <si>
    <t>D1.3</t>
  </si>
  <si>
    <t>No</t>
  </si>
  <si>
    <t>Title</t>
  </si>
  <si>
    <t>Start M</t>
  </si>
  <si>
    <t>End M</t>
  </si>
  <si>
    <t>Year 1</t>
  </si>
  <si>
    <t>Year 2</t>
  </si>
  <si>
    <t>Year 3</t>
  </si>
  <si>
    <t>WP1</t>
  </si>
  <si>
    <t xml:space="preserve">Project Management </t>
  </si>
  <si>
    <t>T1.1</t>
  </si>
  <si>
    <t>Project coordination and reporting</t>
  </si>
  <si>
    <t>T1.2</t>
  </si>
  <si>
    <t>Scientific and technical coordination, and monitoring of project's achievements</t>
  </si>
  <si>
    <t>T1.3</t>
  </si>
  <si>
    <t>Quality assurance, gender equality assessment and risk management</t>
  </si>
  <si>
    <t>T1.4</t>
  </si>
  <si>
    <t>Innovation tracking and data management</t>
  </si>
  <si>
    <t>T1.5</t>
  </si>
  <si>
    <t>Ethical principles and European regulations, fundamental rights, and social sciences</t>
  </si>
  <si>
    <t>WP2</t>
  </si>
  <si>
    <t>Dissemination, Exploitation, Sustainability</t>
  </si>
  <si>
    <t>T2.1</t>
  </si>
  <si>
    <t>Outreach planning, Communication and Dissemination</t>
  </si>
  <si>
    <t>T2.2</t>
  </si>
  <si>
    <t>Standardization activities</t>
  </si>
  <si>
    <t>T2.3</t>
  </si>
  <si>
    <t xml:space="preserve">Liaison with other EU-funded projects and initiatives </t>
  </si>
  <si>
    <t>T2.4</t>
  </si>
  <si>
    <t>Exploitation activities and long-term sustainability</t>
  </si>
  <si>
    <t>T2.5</t>
  </si>
  <si>
    <t>End user internal organization training activities</t>
  </si>
  <si>
    <t>WP3</t>
  </si>
  <si>
    <t>Specification/ Requirements and CoEvolution Architecture</t>
  </si>
  <si>
    <t>T3.1</t>
  </si>
  <si>
    <t>State-of-the-Art, Threat model and Technical Specifications</t>
  </si>
  <si>
    <t>T3.2</t>
  </si>
  <si>
    <t>Use-Case specifications and Requirements</t>
  </si>
  <si>
    <t>T3.3</t>
  </si>
  <si>
    <t>CoEvolution Reference Architecture</t>
  </si>
  <si>
    <t>T3.4</t>
  </si>
  <si>
    <t>Data requirements and Collection</t>
  </si>
  <si>
    <t>WP4</t>
  </si>
  <si>
    <t>AI model STR Αssessment., Εnhancement and Context Awareness technology enablers</t>
  </si>
  <si>
    <t>T4.1</t>
  </si>
  <si>
    <t>Adversarial Attack Security Testing/Assessment techniques</t>
  </si>
  <si>
    <t>T4.2</t>
  </si>
  <si>
    <t>Design and Training Phase Defences Technologies</t>
  </si>
  <si>
    <t>T4.3</t>
  </si>
  <si>
    <t>Deployment Phase Defenses Technologies</t>
  </si>
  <si>
    <t>T4.4</t>
  </si>
  <si>
    <t>AI Model Context-Awareness Enablers for Security, Robustness and Performance</t>
  </si>
  <si>
    <t>T4.5</t>
  </si>
  <si>
    <t>Continuous Post-Deployment Defense through Incremental training technologies</t>
  </si>
  <si>
    <t>WP5</t>
  </si>
  <si>
    <t>CoEvolution AI model lifecycle STR Security Assurance and Monitoring</t>
  </si>
  <si>
    <t>T5.1</t>
  </si>
  <si>
    <t>STR AI Model Bills-of-Material Definition, Design and Management</t>
  </si>
  <si>
    <t>T5.2</t>
  </si>
  <si>
    <t>Security Runtime Monitoring</t>
  </si>
  <si>
    <t>T5.3</t>
  </si>
  <si>
    <t>Risk Assessement Analysis and Security Assessment Engines</t>
  </si>
  <si>
    <t>T5.4</t>
  </si>
  <si>
    <t>Continuous Security Assurance and Trusted AIMBOM Generation Mechanism</t>
  </si>
  <si>
    <t>T5.5</t>
  </si>
  <si>
    <t>Evolutionary strategies for context-awareness adaptation</t>
  </si>
  <si>
    <t>WP6</t>
  </si>
  <si>
    <t>Integration, evaluation and project outcomes</t>
  </si>
  <si>
    <t>T6.1</t>
  </si>
  <si>
    <t>CoEvolution hub Integration and Implementation</t>
  </si>
  <si>
    <t>T6.2</t>
  </si>
  <si>
    <t>Simulation for evaluation and dataset creation</t>
  </si>
  <si>
    <t>T6.3</t>
  </si>
  <si>
    <t>Pilot Deployment, Testing and Demonstration</t>
  </si>
  <si>
    <t>T6.4</t>
  </si>
  <si>
    <t>Validation, Evaluation and project outcomes</t>
  </si>
  <si>
    <t>D1.2 
D2.1</t>
  </si>
  <si>
    <t>D3.1 
D3.2</t>
  </si>
  <si>
    <t>D2.2 
D4.1 
D5.1</t>
  </si>
  <si>
    <t>D6.1
D6.2</t>
  </si>
  <si>
    <t>D4.2 
D5.2</t>
  </si>
  <si>
    <t>D2.3 
D6.3 
D6.4</t>
  </si>
  <si>
    <t>MS - MVP</t>
  </si>
  <si>
    <t>MS - Project 
Bootstrapping</t>
  </si>
  <si>
    <t>Leader Short Name</t>
  </si>
  <si>
    <t>Total 
/Task</t>
  </si>
  <si>
    <t>ICCS</t>
  </si>
  <si>
    <t>ISI</t>
  </si>
  <si>
    <t>AEGIS</t>
  </si>
  <si>
    <t>CBRL</t>
  </si>
  <si>
    <t>SIE</t>
  </si>
  <si>
    <t>DIE</t>
  </si>
  <si>
    <t>TID</t>
  </si>
  <si>
    <t>AVI</t>
  </si>
  <si>
    <t>UNICA</t>
  </si>
  <si>
    <t>UNIPI</t>
  </si>
  <si>
    <t>SLC</t>
  </si>
  <si>
    <t>AVL</t>
  </si>
  <si>
    <t>STS</t>
  </si>
  <si>
    <t>BEVD</t>
  </si>
  <si>
    <t>Upatras</t>
  </si>
  <si>
    <t>The official Project Meetings will be documented in the table below. ATTENTION: Do not fill Column B, numbering is done automatically.</t>
  </si>
  <si>
    <t>Type</t>
  </si>
  <si>
    <t>Location</t>
  </si>
  <si>
    <t>Ending Date</t>
  </si>
  <si>
    <t>AEGIS Participants</t>
  </si>
  <si>
    <t>Status</t>
  </si>
  <si>
    <t>[Select from Dropdown List]</t>
  </si>
  <si>
    <t>[provide the meeting title i.e 1st plenary etc]</t>
  </si>
  <si>
    <t>[city, country / remote]</t>
  </si>
  <si>
    <t>[select date from Calendar]</t>
  </si>
  <si>
    <t>[add the names of the participants]</t>
  </si>
  <si>
    <t>[Select from Dropdown list]</t>
  </si>
  <si>
    <t>Kick-Off</t>
  </si>
  <si>
    <t>Completed</t>
  </si>
  <si>
    <t>Plenary</t>
  </si>
  <si>
    <t>Athens, Greece</t>
  </si>
  <si>
    <t>Plenary &amp; Technical</t>
  </si>
  <si>
    <t>Technical</t>
  </si>
  <si>
    <t>Planned</t>
  </si>
  <si>
    <t>Deliverable Status</t>
  </si>
  <si>
    <t>Meeting Status</t>
  </si>
  <si>
    <t>Meeting Type</t>
  </si>
  <si>
    <t>Not Started</t>
  </si>
  <si>
    <t>Announced</t>
  </si>
  <si>
    <t>ToC</t>
  </si>
  <si>
    <t>Draft</t>
  </si>
  <si>
    <t>Peer Review</t>
  </si>
  <si>
    <t>Submitted</t>
  </si>
  <si>
    <t>Review</t>
  </si>
  <si>
    <t>Accepted</t>
  </si>
  <si>
    <t>Rejected</t>
  </si>
  <si>
    <t>Resubmitted</t>
  </si>
  <si>
    <t xml:space="preserve">Project Kick-off Meeting </t>
  </si>
  <si>
    <t>Marinos Tsantekidis, Stella Markopoulou</t>
  </si>
  <si>
    <t>Cagliari, Sardinia, Italy</t>
  </si>
  <si>
    <t xml:space="preserve">Project Meeting </t>
  </si>
  <si>
    <t>Nikolaos Gkatzios, Stella Markopoulou</t>
  </si>
  <si>
    <t>#</t>
  </si>
  <si>
    <t>Name</t>
  </si>
  <si>
    <t>Short description</t>
  </si>
  <si>
    <t>WP#</t>
  </si>
  <si>
    <t>Lead</t>
  </si>
  <si>
    <t>Diss. level</t>
  </si>
  <si>
    <t>Del. date</t>
  </si>
  <si>
    <t>Project Manual</t>
  </si>
  <si>
    <t>Project processes for day-to-day operations and quality management</t>
  </si>
  <si>
    <t>R</t>
  </si>
  <si>
    <t>PU</t>
  </si>
  <si>
    <t>M03</t>
  </si>
  <si>
    <t>Data Management Plan</t>
  </si>
  <si>
    <t>Data management plan (living document)</t>
  </si>
  <si>
    <t>DMP</t>
  </si>
  <si>
    <t>SEN</t>
  </si>
  <si>
    <t>M06</t>
  </si>
  <si>
    <t>Innovation management and ethics oversight report</t>
  </si>
  <si>
    <t>M36</t>
  </si>
  <si>
    <t>Analysis of the legal and ethical issues</t>
  </si>
  <si>
    <t>Artificial Intelligence Act analysis and Ethical Board activities report (living document)</t>
  </si>
  <si>
    <t>M12</t>
  </si>
  <si>
    <t>Plan for impact delivery</t>
  </si>
  <si>
    <t>Communication, Dissemination and Exploitation Plan</t>
  </si>
  <si>
    <t>First Impact Analysis</t>
  </si>
  <si>
    <t>First report on the activities and indications on their impact</t>
  </si>
  <si>
    <t>M18</t>
  </si>
  <si>
    <t>Final Impact report</t>
  </si>
  <si>
    <t>Second report on the activities and indications on their impact</t>
  </si>
  <si>
    <t>Project scope definition</t>
  </si>
  <si>
    <t>State of the art report, threat models, codified requirements and use cases</t>
  </si>
  <si>
    <t>SAP</t>
  </si>
  <si>
    <t>Technical specifications</t>
  </si>
  <si>
    <t>Architecture and technical specification of the framework (live document)</t>
  </si>
  <si>
    <t>OTHER</t>
  </si>
  <si>
    <t>Enablers development S&amp;T report</t>
  </si>
  <si>
    <t>Scientific and technical report of the developed tools and techniques</t>
  </si>
  <si>
    <t>Enablers repository</t>
  </si>
  <si>
    <t>SW repository with developed tools with proper documentation for prospective uptakers</t>
  </si>
  <si>
    <t>M33</t>
  </si>
  <si>
    <t>Security assurance and monitoring S&amp;T report</t>
  </si>
  <si>
    <t>Security assurance and monitoring repository</t>
  </si>
  <si>
    <t>Simulator &amp; datasets</t>
  </si>
  <si>
    <t>Simulator and datasets to support R&amp;D</t>
  </si>
  <si>
    <t>M24</t>
  </si>
  <si>
    <t>MVP</t>
  </si>
  <si>
    <t>A minimum viable product of the integrated framework to be validated and demonstrated</t>
  </si>
  <si>
    <t>Integrated framework</t>
  </si>
  <si>
    <t>Final integrated framework and prototypes</t>
  </si>
  <si>
    <t>DEM</t>
  </si>
  <si>
    <t>Evaluation report</t>
  </si>
  <si>
    <t>Evalution process summary results for uptake and post-implementation support &amp; development</t>
  </si>
  <si>
    <t>Reviewer 1</t>
  </si>
  <si>
    <t>Reviewer 2</t>
  </si>
  <si>
    <t>AEGIS Contributor</t>
  </si>
  <si>
    <t>UPAT</t>
  </si>
  <si>
    <t>UPatras</t>
  </si>
  <si>
    <t>Yes</t>
  </si>
  <si>
    <t>The AEGIS Team that operates in this Project will be having interanl meetings and calls on a regular basis. Below is a log for these meetings with action points and key notes.</t>
  </si>
  <si>
    <t>Date</t>
  </si>
  <si>
    <t>Points of Discussion</t>
  </si>
  <si>
    <t>Action Points</t>
  </si>
  <si>
    <t>Notes</t>
  </si>
  <si>
    <t>* Finalise Deliverable D1.2: Coordinate with Stavros Tsipras and Georgia Tsipra to close pending sections and initiate peer review.
* Finalise Deliverable D2.1: Ensure all partner contributions are integrated, reviewed, and the document is ready for internal quality check.</t>
  </si>
  <si>
    <t>* The project management responsibilities for CoEvolution have been officially transferred from Nikos to Jihane as of Month 5.
* Access to all project management tools, documentation repositories, and reporting templates has been successfully handed over.
* Nikos will remain available for support during the transition phase if needed.</t>
  </si>
  <si>
    <t>PAN</t>
  </si>
  <si>
    <t>Konstantinos Tserpes Antonis Makris  (ICCS)</t>
  </si>
  <si>
    <t>EREVNITIKO PANEPISTIMIAKO INSTITOUTO SYSTIMATON EPIKOINONION KAI YPOLOGISTON (coordinator)</t>
  </si>
  <si>
    <t>UNIVERSITY OF CAGLIARI</t>
  </si>
  <si>
    <t>SIEMENS AKTIENGESELLSCHAFT</t>
  </si>
  <si>
    <t>TELEFONICA</t>
  </si>
  <si>
    <t>UNIVERSITA DI PISA</t>
  </si>
  <si>
    <t>SECURITY LABS CONSULTING LIMITED</t>
  </si>
  <si>
    <t>SPHYNX TECHNOLOGY SOLUTIONS AG</t>
  </si>
  <si>
    <t>No.</t>
  </si>
  <si>
    <t>Participant organisation name</t>
  </si>
  <si>
    <t>Short Name</t>
  </si>
  <si>
    <t>RESEARCH CENTER ATHENA Industrial System Institute</t>
  </si>
  <si>
    <t xml:space="preserve">PANEPISTIMIO  PATRON </t>
  </si>
  <si>
    <t>AEGIS IT RESEARCH GMBH </t>
  </si>
  <si>
    <t>AVL LIST GMBH</t>
  </si>
  <si>
    <t xml:space="preserve">AVISENSE. AI TECHNOVLASTOS IKE </t>
  </si>
  <si>
    <t>DIINEKES S.I. MONOPROSOPI IDIOTIKI KEFALAIOUCHIKI ETAIREIA</t>
  </si>
  <si>
    <t>CYBERALYTICS LIMITED</t>
  </si>
  <si>
    <t>VELEDAR OMAR</t>
  </si>
  <si>
    <t>Country</t>
  </si>
  <si>
    <t>PIC</t>
  </si>
  <si>
    <t>PM Rate</t>
  </si>
  <si>
    <t>Target funding</t>
  </si>
  <si>
    <t>Role</t>
  </si>
  <si>
    <t>EL</t>
  </si>
  <si>
    <t>Research</t>
  </si>
  <si>
    <t>IT</t>
  </si>
  <si>
    <t>DE</t>
  </si>
  <si>
    <t>Industry</t>
  </si>
  <si>
    <t>Tech provider / Pilot provider</t>
  </si>
  <si>
    <t>SME</t>
  </si>
  <si>
    <t>ES</t>
  </si>
  <si>
    <t>IE</t>
  </si>
  <si>
    <t>Pilot Provider</t>
  </si>
  <si>
    <t>Tech Provider</t>
  </si>
  <si>
    <t>CY</t>
  </si>
  <si>
    <t>CH</t>
  </si>
  <si>
    <t>Model driven data analytics services</t>
  </si>
  <si>
    <t>Member</t>
  </si>
  <si>
    <t>Alternate Member</t>
  </si>
  <si>
    <t>Konstantinos Tserpes &lt;tserpes@mail.ntua.gr&gt;</t>
  </si>
  <si>
    <t>Antonis Makris &lt;antoniosmakris@mail.ntua.gr&gt;</t>
  </si>
  <si>
    <t>Apostolos Fournaris &lt;fournaris@isi.gr&gt;</t>
  </si>
  <si>
    <t>Evangelos Haleplidis &lt;haleplidis@isi.gr&gt;</t>
  </si>
  <si>
    <t>Battista Biggio &lt;battista.biggio@unica.it&gt;</t>
  </si>
  <si>
    <t>Maura Pintor &lt;maura.pintor@unica.it&gt;</t>
  </si>
  <si>
    <t>Georgios Bouloukakis &lt;boulouk@gmail.com&gt;</t>
  </si>
  <si>
    <t>Nikos Papadakis &lt;ni papadakni1996@gmail.com&gt;</t>
  </si>
  <si>
    <t>Arne Broering &lt;arne.broering@siemens.com&gt;</t>
  </si>
  <si>
    <t>Marco Caselli &lt;marco.caselli@siemens.com&gt;</t>
  </si>
  <si>
    <t>Nikolaos Gkatzios &lt;n.gkatzios@aegisresearch.eu&gt;</t>
  </si>
  <si>
    <t>Stella Markopoulou &lt;s.markopoulou@aegisresearch.eu&gt;</t>
  </si>
  <si>
    <t>Ioannis Arapakis &lt;ioannis.arapakis@telefonica.com&gt;</t>
  </si>
  <si>
    <t>Carlos Segura &lt;carlos.seguraperales@telefonica.com&gt;</t>
  </si>
  <si>
    <t>Antonio Carta &lt;antonio.carta@unipi.it&gt;</t>
  </si>
  <si>
    <t>Davide Bacciu &lt;davide.bacciu@unipi.it&gt;</t>
  </si>
  <si>
    <t>Panos Karantzias &lt;panagiotis.karantzias@securitylabs.ie&gt;</t>
  </si>
  <si>
    <t>Christos Papadopoulos (christospapadopoulos07@gmail.com)</t>
  </si>
  <si>
    <t>David Lenk &lt;david.lenk@avl.com&gt;</t>
  </si>
  <si>
    <t>Bernhard Peischl &lt;bernhard.peischl@avl.com&gt;</t>
  </si>
  <si>
    <t>Aris Lalos &lt;lalos@avisense.ai&gt;</t>
  </si>
  <si>
    <t>Theodoros Panagiotakopoulos &lt;panagiotakopoulos@avisense.ai&gt;</t>
  </si>
  <si>
    <t>Soritis Ioannidis &lt;sotiris@dienekes.eu&gt;</t>
  </si>
  <si>
    <t xml:space="preserve">  -</t>
  </si>
  <si>
    <t>Andreas Miaoudakis &lt;a.miaoudakis@cyberalytics.com&gt;</t>
  </si>
  <si>
    <t>Olympia Giannakopoulou &lt;o.giannakopoulou@cyberalytics.com&gt;</t>
  </si>
  <si>
    <t>Michalis Smyrlis &lt;smyrlis@sphynx.ch&gt;</t>
  </si>
  <si>
    <t>Ioannis Arakas &lt;i.arakas@sphynx.ch&gt;</t>
  </si>
  <si>
    <t>Omar Veledar &lt;Omar.Veledar@beevadoo.com&gt;</t>
  </si>
  <si>
    <t xml:space="preserve">  - </t>
  </si>
  <si>
    <t>Current Month:</t>
  </si>
  <si>
    <t>Total Partners:</t>
  </si>
  <si>
    <t xml:space="preserve">                      Industry</t>
  </si>
  <si>
    <t xml:space="preserve">                      SME</t>
  </si>
  <si>
    <t xml:space="preserve">                      Research</t>
  </si>
  <si>
    <t>AT, CH, CY, DE, EL, ES, IE, IT</t>
  </si>
  <si>
    <t>COUNTRIES</t>
  </si>
  <si>
    <t>GA Number</t>
  </si>
  <si>
    <t>https://coevolution-project.eu/</t>
  </si>
  <si>
    <t>https://x.com/@coevolution_eu</t>
  </si>
  <si>
    <t>https://www.linkedin.com/company/coevolution-eu-project/</t>
  </si>
  <si>
    <t>https://www.facebook.com/people/CoEvolution-EUHorizon/61572810781073/</t>
  </si>
  <si>
    <t>https://www.youtube.com/@CoEvolutionEUH2020</t>
  </si>
  <si>
    <t>https://bsky.app/profile/coevolution-eu.bsky.social</t>
  </si>
  <si>
    <t>Website</t>
  </si>
  <si>
    <t>X</t>
  </si>
  <si>
    <t>LinkedIn</t>
  </si>
  <si>
    <t>Facebook</t>
  </si>
  <si>
    <t>YouTube</t>
  </si>
  <si>
    <t>BlueSky</t>
  </si>
  <si>
    <t>MS - Project scope codification</t>
  </si>
  <si>
    <t>MS - R&amp;D and impact maximization plans and first results</t>
  </si>
  <si>
    <t>MS - S&amp;T outputs for uptake</t>
  </si>
  <si>
    <t>MS - Project outputs, evaluation and sustainability</t>
  </si>
  <si>
    <t>This tab outlines the role of AEGIS in this project. WPs and/or tasks AEGIS leads are described in details</t>
  </si>
  <si>
    <t>Tool/Service provided</t>
  </si>
  <si>
    <t>Role in Project</t>
  </si>
  <si>
    <t>WP leader</t>
  </si>
  <si>
    <t>n/a</t>
  </si>
  <si>
    <t>Task leader</t>
  </si>
  <si>
    <t>Deliverable leader</t>
  </si>
  <si>
    <t>Del Reviewer</t>
  </si>
  <si>
    <t>Legal &amp; Ethics Consultation/ Dissemination and Communication/ Integration</t>
  </si>
  <si>
    <t>Technology Provider, Legal &amp; Ethics Manager, Dissemination and Communication Manager, Integrator</t>
  </si>
  <si>
    <t>Leader</t>
  </si>
  <si>
    <t>T1.4; T1.5; T2.1; T6.1</t>
  </si>
  <si>
    <t>D1.2 (M06); D1.3 (M36); D1.4 (M12); D2.1 (M06);</t>
  </si>
  <si>
    <t>D1.1 (M03); D4.1 (M18); D6.4(M36);</t>
  </si>
  <si>
    <t>Task1.4 Description</t>
  </si>
  <si>
    <t>Task 1.5 Description</t>
  </si>
  <si>
    <t>Task 2.1 Description</t>
  </si>
  <si>
    <t>Task 6.1 Description</t>
  </si>
  <si>
    <t xml:space="preserve">CoEvolution incorporates research, innovation strategy and monitoring as a core feature in its structure. In this context, this task aims at identifying and analysing the innovation potentials of CoEvolution and providing additional information and directions both to the project technical activities (with respect to current and emerging market needs) and to the project exploitation activities (with respect to exploitation plans and strategies). Innovation workshops may be organized as part of CoEvolution dissemination and exploitation strategy to invite potential adopters of CoEvolution results, where they will have a discussion playground. Moreover, it will establish open science and data management planning activities, which involve the identification of the relevant information that can be shared among the scientific communities for research purposes, and details the procedures for preserving and releasing project’s open assets even beyond the end of the project. </t>
  </si>
  <si>
    <t>In this task, an Ethical Board (constituted by internal and external experts) will be established with the aim of assisting the consortium and the involved beneficiaries to quickly solve any uprising issues without affecting the project outcomes. Close monitoring and evaluation will be periodically performed in order to verify that each party is compliant with all European laws and regulations applicable to its activities, including the acquisition of data, the processing of data through any tool used in connection with the project and the use of such data within the project framework. This task will also provide an analysis of the legal and ethical issues in the project (in particular focusing on privacy, data protection and AI regulation) to partners. More specifically, this task will monitor closely the EU approach on Artificial Intelligence, such as the proposed Artificial Intelligence Act and will keep the consortium apprised in order for CoEvolution to harmonize the results of the project with the EU guidelines. Finally, this task goes one step beyond by considering which legal issues may emerge for the CoEvolution outcomes in the post-project phase, and how the consortium can develop outcomes that are legally compliant and meet a high ethical standard.</t>
  </si>
  <si>
    <t>This task aims to establish a framework enabling partners to document their communication and dissemination efforts and assess their impact. These activities will be meticulously evaluated against the project's Key Performance Indicators (KPIs), and a flexible strategy will be formulated in real-time based on the extent to which these activities are fulfilled. This approach ensures the implementation of consistent communication initiatives across diverse channels, guaranteeing that pertinent stakeholders are well-informed about the project's progress. Special attention will be given to generating digital content and utilizing social media platforms such as Twitter and LinkedIn. Additionally, the project aims at enhancing its visibility and outreach with various tools and social media platforms, ensuring effective communication with its target audience.</t>
  </si>
  <si>
    <t>In this task, the envisioned CoEvolution hub will be integrated and implemented, continuing the work of WP4 and WP5. Activities in this task will involve the following:
	1. explain which underlying domain data models will be used and why 
	2. prescribe the necessary infrastructure
	3. assign responsibilities regarding the provision and installation of the necessary infrastructure for the effective system operation
	4. coordinate and integrate the tools and services developed in WPs 4 and 5
	5. implement the CoEvolution hub.
In addition to the above, AVL and AVI will perform adaptations to AVL’s testbed (vehicle and equipment) to ensure its compatibility with the prescribed infrastructure, tools and services leading to effective integration and implementation of the CoEvolution hub and enhanced availability of data sharing. This effort will ensure the seamless integration of AVL’s vehicle and equipment into the CoEvolution hub.</t>
  </si>
  <si>
    <t>* Deliverables D1.2 and D2.1: Updates were shared regarding their status. Reviewer comments were received, with no major changes required.
* Technical Requirements: Reviewed the technical requirements currently assigned to AEGIS.
* Architecture Responsibilities: Discussed the need to clarify which parts of the overall architecture AEGIS should lead or contribute to.</t>
  </si>
  <si>
    <t>* Schedule a meeting with ICCS to clarify the architecture updates and define AEGIS’s responsibilities.
* Provide the final versions of Deliverables D1.2 and D2.1, incorporating reviewer feedback.
* Update the Dissemination &amp; Communication (D&amp;C) KPIs to reflect progress up to Month 6.
* Review and confirm the technical requirements assigned to AEGIS.</t>
  </si>
  <si>
    <t>Attendees: Nikos, Stella, Jihane</t>
  </si>
  <si>
    <t>Attendees: Nikos, Jihane</t>
  </si>
  <si>
    <t>Attendees: Nikos, Stella, Jihane, Antonis (ICCS), Stavros Bouras (ICCS)</t>
  </si>
  <si>
    <t>* Discussion on Technical Requirements AEGIS-NTUA
* Deliverables D1.2 and D2.1: Updates were shared regarding their status to ICCS.</t>
  </si>
  <si>
    <t>*  Privacy Policy Discussion (For the form https://docs.google.com/forms/d/1wcgpiqglaTSjM1xlsYOjeRX7okQ1FYIUAziTR0eX8gc/edit) 
* Discussion on whether a separate privacy policy is needed for the form</t>
  </si>
  <si>
    <t>Attendees: Jihane Najar, Stavors Tsipras</t>
  </si>
  <si>
    <t>*  Privacy Policy Discussion and website updates</t>
  </si>
  <si>
    <t>Attendees: Jihane Najar, Stavors Tsipras, Alex Katsenos</t>
  </si>
  <si>
    <t>Plenary Meeting</t>
  </si>
  <si>
    <t>Graz, Austria</t>
  </si>
  <si>
    <t>Jihane Najar, Stella Markopoulou</t>
  </si>
  <si>
    <t>T1.5 and D1.4</t>
  </si>
  <si>
    <t>Attendees: Jihane Najar, Stavors Tsipras, Georgia Tsipras</t>
  </si>
  <si>
    <t>* Prepare the new version of the privacy policy</t>
  </si>
  <si>
    <t>* Prepare the new version of the privacy policy and update the website</t>
  </si>
  <si>
    <t>* Prepare the ToC and descrition of each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</si>
</sst>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08]d\-mmm\-yyyy;@"/>
    <numFmt numFmtId="165" formatCode="#,##0.00&quot; €&quot;"/>
    <numFmt numFmtId="166" formatCode="[$-409]d/mmm/yy;@"/>
    <numFmt numFmtId="167" formatCode="[$-409]mmm/yy;@"/>
    <numFmt numFmtId="168" formatCode="\M?"/>
    <numFmt numFmtId="169" formatCode="dd/mm/yyyy;@"/>
    <numFmt numFmtId="170" formatCode="#,##0.00\ &quot;€&quot;"/>
    <numFmt numFmtId="171" formatCode="#,##0\ &quot;€&quot;"/>
  </numFmts>
  <fonts count="44" x14ac:knownFonts="1">
    <font>
      <sz val="11"/>
      <color theme="1"/>
      <name val="Calibri"/>
      <family val="2"/>
      <scheme val="minor"/>
    </font>
    <font>
      <sz val="11"/>
      <color rgb="FF9C0006"/>
      <name val="Calibri"/>
      <family val="2"/>
      <scheme val="minor"/>
    </font>
    <font>
      <sz val="11"/>
      <color theme="1"/>
      <name val="Calibri"/>
      <family val="2"/>
      <charset val="161"/>
    </font>
    <font>
      <b/>
      <sz val="12"/>
      <color rgb="FF000000"/>
      <name val="Calibri"/>
      <family val="2"/>
      <charset val="161"/>
    </font>
    <font>
      <b/>
      <sz val="12"/>
      <color theme="1"/>
      <name val="Calibri"/>
      <family val="2"/>
      <charset val="161"/>
    </font>
    <font>
      <u/>
      <sz val="11"/>
      <color theme="10"/>
      <name val="Calibri"/>
      <family val="2"/>
      <charset val="1"/>
    </font>
    <font>
      <u/>
      <sz val="11"/>
      <color theme="10"/>
      <name val="Calibri"/>
      <family val="2"/>
      <charset val="161"/>
    </font>
    <font>
      <b/>
      <sz val="11"/>
      <color theme="1"/>
      <name val="Calibri"/>
      <family val="2"/>
      <charset val="1"/>
    </font>
    <font>
      <b/>
      <sz val="11"/>
      <color theme="1"/>
      <name val="Calibri"/>
      <family val="2"/>
      <charset val="161"/>
    </font>
    <font>
      <b/>
      <sz val="11"/>
      <name val="Calibri"/>
      <family val="2"/>
    </font>
    <font>
      <b/>
      <sz val="11"/>
      <color rgb="FFFF0000"/>
      <name val="Calibri"/>
      <family val="2"/>
    </font>
    <font>
      <sz val="11"/>
      <color rgb="FF000000"/>
      <name val="Calibri"/>
      <family val="2"/>
      <scheme val="minor"/>
    </font>
    <font>
      <b/>
      <sz val="11"/>
      <color theme="1"/>
      <name val="Calibri"/>
      <family val="2"/>
    </font>
    <font>
      <b/>
      <sz val="11"/>
      <color rgb="FF000000"/>
      <name val="Calibri"/>
      <family val="2"/>
    </font>
    <font>
      <sz val="11"/>
      <name val="Calibri"/>
      <family val="2"/>
    </font>
    <font>
      <b/>
      <sz val="10"/>
      <color theme="0"/>
      <name val="Calibri"/>
      <family val="2"/>
    </font>
    <font>
      <sz val="11"/>
      <color rgb="FF000000"/>
      <name val="Calibri"/>
      <family val="2"/>
    </font>
    <font>
      <sz val="10"/>
      <color rgb="FF000000"/>
      <name val="Calibri"/>
      <family val="2"/>
    </font>
    <font>
      <sz val="10"/>
      <color theme="1"/>
      <name val="Calibri"/>
      <family val="2"/>
    </font>
    <font>
      <sz val="10"/>
      <color rgb="FF9C0006"/>
      <name val="Calibri"/>
      <family val="2"/>
      <charset val="161"/>
      <scheme val="minor"/>
    </font>
    <font>
      <b/>
      <sz val="10"/>
      <color rgb="FFFFFFFF"/>
      <name val="Calibri"/>
      <family val="2"/>
    </font>
    <font>
      <sz val="10"/>
      <name val="Calibri"/>
      <family val="2"/>
    </font>
    <font>
      <sz val="10"/>
      <name val="Calibri"/>
      <family val="2"/>
      <scheme val="minor"/>
    </font>
    <font>
      <b/>
      <sz val="10"/>
      <color rgb="FF000000"/>
      <name val="Calibri"/>
      <family val="2"/>
    </font>
    <font>
      <b/>
      <sz val="10"/>
      <color theme="1"/>
      <name val="Calibri"/>
      <family val="2"/>
    </font>
    <font>
      <sz val="10"/>
      <color rgb="FFFFFFFF"/>
      <name val="Calibri"/>
      <family val="2"/>
    </font>
    <font>
      <b/>
      <sz val="10"/>
      <color rgb="FFBF9000"/>
      <name val="Calibri"/>
      <family val="2"/>
    </font>
    <font>
      <b/>
      <sz val="11"/>
      <color theme="0"/>
      <name val="Calibri"/>
      <family val="2"/>
    </font>
    <font>
      <b/>
      <sz val="12"/>
      <color theme="0"/>
      <name val="Calibri"/>
      <family val="2"/>
    </font>
    <font>
      <b/>
      <sz val="10"/>
      <name val="Calibri"/>
      <family val="2"/>
    </font>
    <font>
      <sz val="11"/>
      <color theme="1"/>
      <name val="Calibri"/>
      <family val="2"/>
      <scheme val="minor"/>
    </font>
    <font>
      <b/>
      <sz val="11"/>
      <color theme="0"/>
      <name val="Calibri"/>
      <family val="2"/>
      <scheme val="minor"/>
    </font>
    <font>
      <b/>
      <sz val="11"/>
      <color theme="1"/>
      <name val="Calibri"/>
      <family val="2"/>
      <scheme val="minor"/>
    </font>
    <font>
      <i/>
      <sz val="11"/>
      <color rgb="FF000000"/>
      <name val="Calibri"/>
      <family val="2"/>
      <scheme val="minor"/>
    </font>
    <font>
      <b/>
      <sz val="12"/>
      <color theme="0"/>
      <name val="Calibri"/>
      <family val="2"/>
      <scheme val="minor"/>
    </font>
    <font>
      <sz val="11"/>
      <color theme="1"/>
      <name val="Times New Roman"/>
      <family val="1"/>
    </font>
    <font>
      <sz val="11"/>
      <color rgb="FF000000"/>
      <name val="Times New Roman"/>
      <family val="1"/>
    </font>
    <font>
      <b/>
      <sz val="11"/>
      <color theme="0"/>
      <name val="Times New Roman"/>
      <family val="1"/>
    </font>
    <font>
      <sz val="12"/>
      <color rgb="FF000000"/>
      <name val="Times New Roman"/>
      <family val="1"/>
    </font>
    <font>
      <sz val="11"/>
      <color theme="1"/>
      <name val="Calibri"/>
      <family val="2"/>
    </font>
    <font>
      <b/>
      <sz val="11"/>
      <color rgb="FFFFFFFF"/>
      <name val="Calibri"/>
      <family val="2"/>
      <scheme val="minor"/>
    </font>
    <font>
      <sz val="11"/>
      <color rgb="FF000000"/>
      <name val="Aptos Narrow"/>
      <family val="2"/>
    </font>
    <font>
      <b/>
      <sz val="11"/>
      <color rgb="FF000000"/>
      <name val="Calibri"/>
      <family val="2"/>
      <scheme val="minor"/>
    </font>
    <font>
      <b/>
      <sz val="10"/>
      <name val="Calibri"/>
      <family val="2"/>
      <scheme val="minor"/>
    </font>
  </fonts>
  <fills count="24">
    <fill>
      <patternFill patternType="none"/>
    </fill>
    <fill>
      <patternFill patternType="gray125"/>
    </fill>
    <fill>
      <patternFill patternType="solid">
        <fgColor rgb="FFFFC7CE"/>
      </patternFill>
    </fill>
    <fill>
      <patternFill patternType="solid">
        <fgColor theme="0"/>
        <bgColor rgb="FFF2F2F2"/>
      </patternFill>
    </fill>
    <fill>
      <patternFill patternType="solid">
        <fgColor theme="7"/>
        <bgColor indexed="64"/>
      </patternFill>
    </fill>
    <fill>
      <patternFill patternType="solid">
        <fgColor theme="9"/>
        <bgColor indexed="64"/>
      </patternFill>
    </fill>
    <fill>
      <patternFill patternType="solid">
        <fgColor rgb="FFFBE4D5"/>
        <bgColor rgb="FFFBE4D5"/>
      </patternFill>
    </fill>
    <fill>
      <patternFill patternType="solid">
        <fgColor rgb="FF2F5496"/>
        <bgColor rgb="FF2F5496"/>
      </patternFill>
    </fill>
    <fill>
      <patternFill patternType="solid">
        <fgColor theme="7" tint="0.79998168889431442"/>
        <bgColor indexed="64"/>
      </patternFill>
    </fill>
    <fill>
      <patternFill patternType="solid">
        <fgColor rgb="FFFFC000"/>
        <bgColor indexed="64"/>
      </patternFill>
    </fill>
    <fill>
      <patternFill patternType="solid">
        <fgColor rgb="FFFEF2CB"/>
        <bgColor rgb="FFFEF2CB"/>
      </patternFill>
    </fill>
    <fill>
      <patternFill patternType="solid">
        <fgColor rgb="FFC5E0B3"/>
        <bgColor rgb="FFC5E0B3"/>
      </patternFill>
    </fill>
    <fill>
      <patternFill patternType="solid">
        <fgColor rgb="FFC55A11"/>
        <bgColor rgb="FFC55A11"/>
      </patternFill>
    </fill>
    <fill>
      <patternFill patternType="solid">
        <fgColor theme="3"/>
        <bgColor indexed="64"/>
      </patternFill>
    </fill>
    <fill>
      <patternFill patternType="solid">
        <fgColor theme="2"/>
        <bgColor indexed="64"/>
      </patternFill>
    </fill>
    <fill>
      <patternFill patternType="solid">
        <fgColor rgb="FFFFFFFF"/>
        <bgColor rgb="FFFFFFFF"/>
      </patternFill>
    </fill>
    <fill>
      <patternFill patternType="solid">
        <fgColor theme="4" tint="0.79998168889431442"/>
        <bgColor rgb="FFFFFFFF"/>
      </patternFill>
    </fill>
    <fill>
      <patternFill patternType="solid">
        <fgColor theme="4" tint="0.79998168889431442"/>
        <bgColor indexed="64"/>
      </patternFill>
    </fill>
    <fill>
      <patternFill patternType="solid">
        <fgColor theme="3"/>
        <bgColor rgb="FFFFFFFF"/>
      </patternFill>
    </fill>
    <fill>
      <patternFill patternType="solid">
        <fgColor theme="3"/>
        <bgColor rgb="FFB4C6E7"/>
      </patternFill>
    </fill>
    <fill>
      <patternFill patternType="solid">
        <fgColor theme="0"/>
        <bgColor indexed="64"/>
      </patternFill>
    </fill>
    <fill>
      <patternFill patternType="solid">
        <fgColor theme="3"/>
        <bgColor rgb="FF366091"/>
      </patternFill>
    </fill>
    <fill>
      <patternFill patternType="solid">
        <fgColor rgb="FFFFFF00"/>
        <bgColor indexed="64"/>
      </patternFill>
    </fill>
    <fill>
      <patternFill patternType="solid">
        <fgColor theme="2" tint="-0.249977111117893"/>
        <bgColor indexed="64"/>
      </patternFill>
    </fill>
  </fills>
  <borders count="61">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medium">
        <color auto="1"/>
      </top>
      <bottom/>
      <diagonal/>
    </border>
    <border>
      <left style="thin">
        <color theme="2" tint="-9.9978637043366805E-2"/>
      </left>
      <right style="thin">
        <color theme="2" tint="-9.9978637043366805E-2"/>
      </right>
      <top style="thin">
        <color theme="2" tint="-9.9978637043366805E-2"/>
      </top>
      <bottom/>
      <diagonal/>
    </border>
    <border>
      <left/>
      <right/>
      <top style="thin">
        <color theme="2" tint="-9.9978637043366805E-2"/>
      </top>
      <bottom style="thin">
        <color theme="2" tint="-9.9978637043366805E-2"/>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000000"/>
      </left>
      <right style="thin">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theme="0"/>
      </top>
      <bottom/>
      <diagonal/>
    </border>
    <border>
      <left style="thin">
        <color indexed="64"/>
      </left>
      <right style="medium">
        <color indexed="64"/>
      </right>
      <top style="thin">
        <color indexed="64"/>
      </top>
      <bottom style="thin">
        <color indexed="64"/>
      </bottom>
      <diagonal/>
    </border>
    <border>
      <left style="medium">
        <color indexed="64"/>
      </left>
      <right/>
      <top style="thin">
        <color theme="0"/>
      </top>
      <bottom style="medium">
        <color indexed="64"/>
      </bottom>
      <diagonal/>
    </border>
    <border>
      <left style="thin">
        <color indexed="64"/>
      </left>
      <right style="medium">
        <color indexed="64"/>
      </right>
      <top style="thin">
        <color indexed="64"/>
      </top>
      <bottom style="medium">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theme="1"/>
      </left>
      <right style="thin">
        <color theme="0"/>
      </right>
      <top style="medium">
        <color theme="1"/>
      </top>
      <bottom style="thin">
        <color theme="0"/>
      </bottom>
      <diagonal/>
    </border>
    <border>
      <left style="thin">
        <color theme="0"/>
      </left>
      <right style="medium">
        <color theme="1"/>
      </right>
      <top style="medium">
        <color theme="1"/>
      </top>
      <bottom style="thin">
        <color theme="0"/>
      </bottom>
      <diagonal/>
    </border>
    <border>
      <left style="medium">
        <color theme="1"/>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style="thin">
        <color theme="0"/>
      </right>
      <top style="thin">
        <color theme="0"/>
      </top>
      <bottom style="medium">
        <color theme="1"/>
      </bottom>
      <diagonal/>
    </border>
    <border>
      <left style="thin">
        <color theme="0"/>
      </left>
      <right style="medium">
        <color theme="1"/>
      </right>
      <top style="thin">
        <color theme="0"/>
      </top>
      <bottom style="medium">
        <color theme="1"/>
      </bottom>
      <diagonal/>
    </border>
  </borders>
  <cellStyleXfs count="5">
    <xf numFmtId="0" fontId="0" fillId="0" borderId="0"/>
    <xf numFmtId="0" fontId="1" fillId="2" borderId="0" applyNumberFormat="0" applyBorder="0" applyAlignment="0" applyProtection="0"/>
    <xf numFmtId="0" fontId="2" fillId="0" borderId="0"/>
    <xf numFmtId="0" fontId="5" fillId="0" borderId="0" applyBorder="0" applyProtection="0"/>
    <xf numFmtId="0" fontId="6" fillId="0" borderId="0" applyBorder="0" applyProtection="0"/>
  </cellStyleXfs>
  <cellXfs count="247">
    <xf numFmtId="0" fontId="0" fillId="0" borderId="0" xfId="0"/>
    <xf numFmtId="0" fontId="0" fillId="0" borderId="0" xfId="0" applyAlignment="1">
      <alignment wrapText="1"/>
    </xf>
    <xf numFmtId="0" fontId="7" fillId="3" borderId="1" xfId="2" applyFont="1" applyFill="1" applyBorder="1" applyAlignment="1">
      <alignment horizontal="right" vertical="center"/>
    </xf>
    <xf numFmtId="0" fontId="2" fillId="3" borderId="2" xfId="2" applyFill="1" applyBorder="1" applyAlignment="1">
      <alignment horizontal="left" vertical="center"/>
    </xf>
    <xf numFmtId="0" fontId="8" fillId="3" borderId="3" xfId="2" applyFont="1" applyFill="1" applyBorder="1" applyAlignment="1">
      <alignment horizontal="right" vertical="center"/>
    </xf>
    <xf numFmtId="0" fontId="2" fillId="3" borderId="4" xfId="2" applyFill="1" applyBorder="1" applyAlignment="1">
      <alignment horizontal="left" vertical="center"/>
    </xf>
    <xf numFmtId="0" fontId="8" fillId="3" borderId="3" xfId="2" applyFont="1" applyFill="1" applyBorder="1" applyAlignment="1">
      <alignment horizontal="right"/>
    </xf>
    <xf numFmtId="0" fontId="2" fillId="3" borderId="4" xfId="2" applyFill="1" applyBorder="1" applyAlignment="1">
      <alignment horizontal="left"/>
    </xf>
    <xf numFmtId="0" fontId="8" fillId="3" borderId="5" xfId="2" applyFont="1" applyFill="1" applyBorder="1" applyAlignment="1">
      <alignment horizontal="right" vertical="center"/>
    </xf>
    <xf numFmtId="0" fontId="2" fillId="3" borderId="6" xfId="2" applyFill="1" applyBorder="1" applyAlignment="1">
      <alignment horizontal="left" vertical="center"/>
    </xf>
    <xf numFmtId="0" fontId="2" fillId="3" borderId="0" xfId="2" applyFill="1" applyAlignment="1">
      <alignment horizontal="left" vertical="center"/>
    </xf>
    <xf numFmtId="0" fontId="7" fillId="3" borderId="7" xfId="2" applyFont="1" applyFill="1" applyBorder="1" applyAlignment="1">
      <alignment horizontal="right" vertical="center"/>
    </xf>
    <xf numFmtId="0" fontId="2" fillId="3" borderId="7" xfId="2" applyFill="1" applyBorder="1" applyAlignment="1">
      <alignment horizontal="left" vertical="center"/>
    </xf>
    <xf numFmtId="0" fontId="8" fillId="3" borderId="7" xfId="2" applyFont="1" applyFill="1" applyBorder="1" applyAlignment="1">
      <alignment horizontal="right" vertical="center"/>
    </xf>
    <xf numFmtId="0" fontId="8" fillId="3" borderId="7" xfId="2" applyFont="1" applyFill="1" applyBorder="1" applyAlignment="1">
      <alignment horizontal="right"/>
    </xf>
    <xf numFmtId="0" fontId="2" fillId="3" borderId="7" xfId="2" applyFill="1" applyBorder="1" applyAlignment="1">
      <alignment horizontal="left"/>
    </xf>
    <xf numFmtId="0" fontId="0" fillId="0" borderId="7" xfId="0" applyBorder="1"/>
    <xf numFmtId="0" fontId="0" fillId="0" borderId="9" xfId="0" applyBorder="1"/>
    <xf numFmtId="0" fontId="3" fillId="3" borderId="0" xfId="2" applyFont="1" applyFill="1" applyAlignment="1">
      <alignment horizontal="center" vertical="center"/>
    </xf>
    <xf numFmtId="0" fontId="0" fillId="0" borderId="10" xfId="0" applyBorder="1" applyAlignment="1">
      <alignment wrapText="1"/>
    </xf>
    <xf numFmtId="0" fontId="3" fillId="3" borderId="3" xfId="2" applyFont="1" applyFill="1" applyBorder="1" applyAlignment="1">
      <alignment horizontal="right" vertical="center"/>
    </xf>
    <xf numFmtId="0" fontId="2" fillId="3" borderId="4" xfId="2" applyFill="1" applyBorder="1" applyAlignment="1">
      <alignment horizontal="left" vertical="center" wrapText="1"/>
    </xf>
    <xf numFmtId="0" fontId="4" fillId="3" borderId="3" xfId="2" applyFont="1" applyFill="1" applyBorder="1" applyAlignment="1">
      <alignment horizontal="right" vertical="center"/>
    </xf>
    <xf numFmtId="0" fontId="6" fillId="3" borderId="4" xfId="4" applyFill="1" applyBorder="1" applyAlignment="1" applyProtection="1">
      <alignment horizontal="left" vertical="center"/>
    </xf>
    <xf numFmtId="0" fontId="6" fillId="3" borderId="6" xfId="4" applyFill="1" applyBorder="1" applyAlignment="1" applyProtection="1">
      <alignment horizontal="left" vertical="center"/>
    </xf>
    <xf numFmtId="0" fontId="3" fillId="3" borderId="0" xfId="2" applyFont="1" applyFill="1" applyAlignment="1">
      <alignment horizontal="right" vertical="center"/>
    </xf>
    <xf numFmtId="0" fontId="4" fillId="3" borderId="0" xfId="2" applyFont="1" applyFill="1" applyAlignment="1">
      <alignment horizontal="right" vertical="center"/>
    </xf>
    <xf numFmtId="0" fontId="3" fillId="3" borderId="1" xfId="2" applyFont="1" applyFill="1" applyBorder="1" applyAlignment="1">
      <alignment horizontal="right" vertical="center" wrapText="1"/>
    </xf>
    <xf numFmtId="0" fontId="3" fillId="3" borderId="8" xfId="2" applyFont="1" applyFill="1" applyBorder="1" applyAlignment="1">
      <alignment horizontal="center" vertical="center" wrapText="1"/>
    </xf>
    <xf numFmtId="0" fontId="3" fillId="3" borderId="11" xfId="2" applyFont="1" applyFill="1" applyBorder="1" applyAlignment="1">
      <alignment horizontal="center" vertical="center"/>
    </xf>
    <xf numFmtId="0" fontId="2" fillId="3" borderId="0" xfId="2" applyFill="1" applyAlignment="1">
      <alignment horizontal="left" vertical="center" wrapText="1"/>
    </xf>
    <xf numFmtId="0" fontId="2" fillId="3" borderId="2" xfId="2" applyFill="1" applyBorder="1" applyAlignment="1">
      <alignment horizontal="left" vertical="center" wrapText="1"/>
    </xf>
    <xf numFmtId="0" fontId="3" fillId="3" borderId="5" xfId="2" applyFont="1" applyFill="1" applyBorder="1" applyAlignment="1">
      <alignment horizontal="right" vertical="center"/>
    </xf>
    <xf numFmtId="0" fontId="2" fillId="3" borderId="6" xfId="2" applyFill="1" applyBorder="1" applyAlignment="1">
      <alignment horizontal="left" vertical="center" wrapText="1"/>
    </xf>
    <xf numFmtId="0" fontId="3" fillId="3" borderId="1" xfId="2" applyFont="1" applyFill="1" applyBorder="1" applyAlignment="1">
      <alignment horizontal="right" vertical="center"/>
    </xf>
    <xf numFmtId="0" fontId="3" fillId="3" borderId="8" xfId="2" applyFont="1" applyFill="1" applyBorder="1" applyAlignment="1">
      <alignment horizontal="center" vertical="center"/>
    </xf>
    <xf numFmtId="166" fontId="2" fillId="3" borderId="2" xfId="2" applyNumberFormat="1" applyFill="1" applyBorder="1" applyAlignment="1">
      <alignment horizontal="left" vertical="center"/>
    </xf>
    <xf numFmtId="164" fontId="2" fillId="3" borderId="6" xfId="2" applyNumberFormat="1" applyFill="1" applyBorder="1" applyAlignment="1">
      <alignment horizontal="left" vertical="center"/>
    </xf>
    <xf numFmtId="0" fontId="4" fillId="3" borderId="1" xfId="2" applyFont="1" applyFill="1" applyBorder="1" applyAlignment="1">
      <alignment horizontal="right" vertical="center"/>
    </xf>
    <xf numFmtId="165" fontId="2" fillId="3" borderId="2" xfId="2" applyNumberFormat="1" applyFill="1" applyBorder="1" applyAlignment="1">
      <alignment horizontal="left" vertical="center"/>
    </xf>
    <xf numFmtId="165" fontId="2" fillId="3" borderId="4" xfId="2" applyNumberFormat="1" applyFill="1" applyBorder="1" applyAlignment="1">
      <alignment horizontal="left" vertical="center"/>
    </xf>
    <xf numFmtId="0" fontId="5" fillId="0" borderId="4" xfId="3" applyBorder="1" applyProtection="1"/>
    <xf numFmtId="0" fontId="9" fillId="0" borderId="13" xfId="0" applyFont="1" applyBorder="1" applyAlignment="1">
      <alignment horizontal="center" vertical="center" wrapText="1"/>
    </xf>
    <xf numFmtId="168" fontId="13" fillId="6" borderId="20" xfId="0" applyNumberFormat="1" applyFont="1" applyFill="1" applyBorder="1" applyAlignment="1">
      <alignment horizontal="center" vertical="center"/>
    </xf>
    <xf numFmtId="168" fontId="13" fillId="6" borderId="13" xfId="0" applyNumberFormat="1" applyFont="1" applyFill="1" applyBorder="1" applyAlignment="1">
      <alignment horizontal="center" vertical="center"/>
    </xf>
    <xf numFmtId="168" fontId="13" fillId="6" borderId="21" xfId="0" applyNumberFormat="1" applyFont="1" applyFill="1" applyBorder="1" applyAlignment="1">
      <alignment horizontal="center" vertical="center"/>
    </xf>
    <xf numFmtId="168" fontId="13" fillId="6" borderId="22" xfId="0" applyNumberFormat="1" applyFont="1" applyFill="1" applyBorder="1" applyAlignment="1">
      <alignment horizontal="center" vertical="center"/>
    </xf>
    <xf numFmtId="0" fontId="15" fillId="7" borderId="20" xfId="0" applyFont="1" applyFill="1" applyBorder="1" applyAlignment="1">
      <alignment horizontal="center" vertical="center"/>
    </xf>
    <xf numFmtId="0" fontId="15" fillId="7" borderId="13" xfId="0" applyFont="1" applyFill="1" applyBorder="1" applyAlignment="1">
      <alignment horizontal="left" vertical="center" wrapText="1"/>
    </xf>
    <xf numFmtId="0" fontId="15" fillId="7" borderId="13"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6" fillId="0" borderId="20" xfId="0" applyFont="1" applyBorder="1" applyAlignment="1">
      <alignment horizontal="center" vertical="center"/>
    </xf>
    <xf numFmtId="0" fontId="16" fillId="0" borderId="13"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0" fillId="0" borderId="13" xfId="0" applyFont="1" applyBorder="1" applyAlignment="1">
      <alignment horizontal="center" vertical="center"/>
    </xf>
    <xf numFmtId="0" fontId="17" fillId="0" borderId="20" xfId="0" applyFont="1" applyBorder="1" applyAlignment="1">
      <alignment horizontal="center" vertical="center"/>
    </xf>
    <xf numFmtId="0" fontId="17" fillId="0" borderId="13" xfId="0" applyFont="1" applyBorder="1" applyAlignment="1">
      <alignment horizontal="left" vertical="center" wrapText="1"/>
    </xf>
    <xf numFmtId="0" fontId="18" fillId="0" borderId="13" xfId="0" applyFont="1" applyBorder="1" applyAlignment="1">
      <alignment horizontal="center" vertical="center"/>
    </xf>
    <xf numFmtId="0" fontId="16" fillId="8" borderId="13" xfId="0" applyFont="1" applyFill="1" applyBorder="1" applyAlignment="1">
      <alignment horizontal="center" vertical="center"/>
    </xf>
    <xf numFmtId="0" fontId="15" fillId="7" borderId="20" xfId="0" applyFont="1" applyFill="1" applyBorder="1" applyAlignment="1">
      <alignment horizontal="center" vertical="center" wrapText="1"/>
    </xf>
    <xf numFmtId="0" fontId="20" fillId="7" borderId="13" xfId="0" applyFont="1" applyFill="1" applyBorder="1" applyAlignment="1">
      <alignment horizontal="left" vertical="center" wrapText="1"/>
    </xf>
    <xf numFmtId="0" fontId="18" fillId="0" borderId="23" xfId="0" applyFont="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vertical="center"/>
    </xf>
    <xf numFmtId="0" fontId="16" fillId="0" borderId="0" xfId="0" applyFont="1" applyAlignment="1">
      <alignment horizontal="center" vertical="center"/>
    </xf>
    <xf numFmtId="0" fontId="21" fillId="0" borderId="20" xfId="0" applyFont="1" applyBorder="1" applyAlignment="1">
      <alignment horizontal="center" vertical="center"/>
    </xf>
    <xf numFmtId="0" fontId="21" fillId="0" borderId="13" xfId="0" applyFont="1" applyBorder="1" applyAlignment="1">
      <alignment horizontal="left" vertical="center" wrapText="1"/>
    </xf>
    <xf numFmtId="0" fontId="21" fillId="0" borderId="13" xfId="0" applyFont="1" applyBorder="1" applyAlignment="1">
      <alignment horizontal="center" vertical="center"/>
    </xf>
    <xf numFmtId="0" fontId="21" fillId="0" borderId="18" xfId="0" applyFont="1" applyBorder="1" applyAlignment="1">
      <alignment horizontal="center" vertical="center"/>
    </xf>
    <xf numFmtId="0" fontId="22" fillId="0" borderId="13" xfId="1" applyFont="1" applyFill="1" applyBorder="1" applyAlignment="1">
      <alignment horizontal="left" vertical="center" wrapText="1"/>
    </xf>
    <xf numFmtId="0" fontId="22" fillId="0" borderId="18" xfId="1" applyFont="1" applyFill="1" applyBorder="1" applyAlignment="1">
      <alignment horizontal="center" vertical="center"/>
    </xf>
    <xf numFmtId="0" fontId="22" fillId="0" borderId="13" xfId="1" applyFont="1" applyFill="1" applyBorder="1" applyAlignment="1">
      <alignment horizontal="center" vertical="center"/>
    </xf>
    <xf numFmtId="0" fontId="22" fillId="0" borderId="23" xfId="1" applyFont="1" applyFill="1" applyBorder="1" applyAlignment="1">
      <alignment horizontal="center" vertical="center"/>
    </xf>
    <xf numFmtId="0" fontId="21" fillId="0" borderId="23" xfId="0" applyFont="1" applyBorder="1" applyAlignment="1">
      <alignment horizontal="center" vertical="center"/>
    </xf>
    <xf numFmtId="0" fontId="10" fillId="0" borderId="0" xfId="0" applyFont="1" applyAlignment="1">
      <alignment horizontal="center" vertical="center" wrapText="1"/>
    </xf>
    <xf numFmtId="0" fontId="9" fillId="0" borderId="12" xfId="0" applyFont="1" applyBorder="1" applyAlignment="1">
      <alignment horizontal="center" vertical="center" wrapText="1"/>
    </xf>
    <xf numFmtId="0" fontId="23" fillId="10" borderId="13" xfId="0" applyFont="1" applyFill="1" applyBorder="1" applyAlignment="1">
      <alignment horizontal="center" vertical="center" wrapText="1"/>
    </xf>
    <xf numFmtId="0" fontId="23" fillId="11" borderId="13" xfId="0" applyFont="1" applyFill="1" applyBorder="1" applyAlignment="1">
      <alignment horizontal="center" vertical="center" textRotation="90" wrapText="1"/>
    </xf>
    <xf numFmtId="0" fontId="24" fillId="10" borderId="13" xfId="0" applyFont="1" applyFill="1" applyBorder="1" applyAlignment="1">
      <alignment horizontal="center" vertical="center" wrapText="1"/>
    </xf>
    <xf numFmtId="0" fontId="25" fillId="7" borderId="13" xfId="0" applyFont="1" applyFill="1" applyBorder="1" applyAlignment="1">
      <alignment horizontal="center" vertical="center" wrapText="1"/>
    </xf>
    <xf numFmtId="0" fontId="26" fillId="7" borderId="13" xfId="0" applyFont="1" applyFill="1" applyBorder="1" applyAlignment="1">
      <alignment horizontal="center" vertical="center" wrapText="1"/>
    </xf>
    <xf numFmtId="1" fontId="17" fillId="8" borderId="13" xfId="0" applyNumberFormat="1" applyFont="1" applyFill="1" applyBorder="1" applyAlignment="1">
      <alignment horizontal="center" vertical="center" wrapText="1"/>
    </xf>
    <xf numFmtId="0" fontId="17" fillId="0" borderId="13" xfId="0" applyFont="1" applyBorder="1" applyAlignment="1">
      <alignment horizontal="center" vertical="center" wrapText="1"/>
    </xf>
    <xf numFmtId="0" fontId="19" fillId="2" borderId="13" xfId="1" applyFont="1" applyBorder="1" applyAlignment="1">
      <alignment horizontal="center" vertical="center" wrapText="1"/>
    </xf>
    <xf numFmtId="0" fontId="17" fillId="8" borderId="13" xfId="0" applyFont="1" applyFill="1" applyBorder="1" applyAlignment="1">
      <alignment horizontal="center" vertical="center" wrapText="1"/>
    </xf>
    <xf numFmtId="1" fontId="17" fillId="0" borderId="13" xfId="0" applyNumberFormat="1" applyFont="1" applyBorder="1" applyAlignment="1">
      <alignment horizontal="center" vertical="center" wrapText="1"/>
    </xf>
    <xf numFmtId="0" fontId="17" fillId="0" borderId="13" xfId="0" applyFont="1" applyBorder="1" applyAlignment="1">
      <alignment horizontal="center" vertical="center"/>
    </xf>
    <xf numFmtId="0" fontId="27" fillId="12" borderId="24" xfId="0" applyFont="1" applyFill="1" applyBorder="1"/>
    <xf numFmtId="0" fontId="28" fillId="12" borderId="25" xfId="0" applyFont="1" applyFill="1" applyBorder="1" applyAlignment="1">
      <alignment horizontal="center" vertical="center" wrapText="1"/>
    </xf>
    <xf numFmtId="1" fontId="28" fillId="12" borderId="26" xfId="0" applyNumberFormat="1" applyFont="1" applyFill="1" applyBorder="1" applyAlignment="1">
      <alignment horizontal="center" vertical="center"/>
    </xf>
    <xf numFmtId="0" fontId="0" fillId="0" borderId="0" xfId="0"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0" fillId="0" borderId="3" xfId="0" applyBorder="1" applyAlignment="1">
      <alignment vertical="center" wrapText="1"/>
    </xf>
    <xf numFmtId="14" fontId="0" fillId="0" borderId="0" xfId="0" applyNumberFormat="1" applyAlignment="1">
      <alignment vertical="center" wrapText="1"/>
    </xf>
    <xf numFmtId="0" fontId="0" fillId="0" borderId="4" xfId="0" applyBorder="1" applyAlignment="1">
      <alignment vertical="center" wrapText="1"/>
    </xf>
    <xf numFmtId="0" fontId="0" fillId="0" borderId="11" xfId="0" applyBorder="1" applyAlignment="1">
      <alignment vertical="center" wrapText="1"/>
    </xf>
    <xf numFmtId="0" fontId="0" fillId="0" borderId="11" xfId="0" applyBorder="1"/>
    <xf numFmtId="0" fontId="0" fillId="0" borderId="6" xfId="0" applyBorder="1"/>
    <xf numFmtId="0" fontId="34" fillId="13" borderId="1" xfId="0" applyFont="1" applyFill="1" applyBorder="1" applyAlignment="1">
      <alignment horizontal="center" vertical="center" wrapText="1"/>
    </xf>
    <xf numFmtId="0" fontId="34" fillId="13" borderId="8" xfId="0" applyFont="1" applyFill="1" applyBorder="1" applyAlignment="1">
      <alignment horizontal="center" vertical="center" wrapText="1"/>
    </xf>
    <xf numFmtId="0" fontId="34" fillId="13" borderId="2" xfId="0" applyFont="1" applyFill="1" applyBorder="1" applyAlignment="1">
      <alignment horizontal="center" vertical="center" wrapText="1"/>
    </xf>
    <xf numFmtId="0" fontId="33" fillId="14" borderId="3" xfId="0" applyFont="1" applyFill="1" applyBorder="1" applyAlignment="1">
      <alignment vertical="center" wrapText="1"/>
    </xf>
    <xf numFmtId="0" fontId="33" fillId="14" borderId="0" xfId="0" applyFont="1" applyFill="1" applyAlignment="1">
      <alignment vertical="center" wrapText="1"/>
    </xf>
    <xf numFmtId="0" fontId="33" fillId="14" borderId="4" xfId="0" applyFont="1" applyFill="1" applyBorder="1" applyAlignment="1">
      <alignment vertical="center" wrapText="1"/>
    </xf>
    <xf numFmtId="0" fontId="36" fillId="0" borderId="12" xfId="0" applyFont="1" applyBorder="1" applyAlignment="1">
      <alignment horizontal="left" vertical="center" wrapText="1"/>
    </xf>
    <xf numFmtId="0" fontId="36" fillId="0" borderId="12" xfId="0" applyFont="1" applyBorder="1" applyAlignment="1">
      <alignment horizontal="center" vertical="center" wrapText="1"/>
    </xf>
    <xf numFmtId="0" fontId="0" fillId="0" borderId="12" xfId="0" applyBorder="1"/>
    <xf numFmtId="0" fontId="35" fillId="16" borderId="12" xfId="0" applyFont="1" applyFill="1" applyBorder="1"/>
    <xf numFmtId="0" fontId="36" fillId="17" borderId="12" xfId="0" applyFont="1" applyFill="1" applyBorder="1" applyAlignment="1">
      <alignment horizontal="center" vertical="center" wrapText="1"/>
    </xf>
    <xf numFmtId="0" fontId="36" fillId="17" borderId="12" xfId="0" applyFont="1" applyFill="1" applyBorder="1" applyAlignment="1">
      <alignment horizontal="left" vertical="center" wrapText="1"/>
    </xf>
    <xf numFmtId="0" fontId="35" fillId="0" borderId="12" xfId="0" applyFont="1" applyBorder="1"/>
    <xf numFmtId="0" fontId="37" fillId="13" borderId="12" xfId="0" applyFont="1" applyFill="1" applyBorder="1" applyAlignment="1">
      <alignment horizontal="center" vertical="center" wrapText="1"/>
    </xf>
    <xf numFmtId="0" fontId="0" fillId="0" borderId="0" xfId="0" applyAlignment="1">
      <alignment horizontal="center"/>
    </xf>
    <xf numFmtId="0" fontId="0" fillId="0" borderId="12" xfId="0" applyBorder="1" applyAlignment="1">
      <alignment horizontal="center"/>
    </xf>
    <xf numFmtId="0" fontId="0" fillId="0" borderId="0" xfId="0" applyAlignment="1">
      <alignment horizontal="center" vertical="center"/>
    </xf>
    <xf numFmtId="0" fontId="0" fillId="0" borderId="0" xfId="0" applyAlignment="1">
      <alignment vertical="center"/>
    </xf>
    <xf numFmtId="0" fontId="31" fillId="13" borderId="12" xfId="0" applyFont="1" applyFill="1" applyBorder="1" applyAlignment="1">
      <alignment horizontal="center" vertical="center"/>
    </xf>
    <xf numFmtId="0" fontId="30" fillId="0" borderId="12" xfId="0" applyFont="1" applyBorder="1" applyAlignment="1">
      <alignment horizontal="center" vertical="center"/>
    </xf>
    <xf numFmtId="169" fontId="30" fillId="0" borderId="12" xfId="0" applyNumberFormat="1" applyFont="1" applyBorder="1" applyAlignment="1">
      <alignment vertical="center"/>
    </xf>
    <xf numFmtId="0" fontId="30" fillId="0" borderId="12" xfId="0" applyFont="1" applyBorder="1" applyAlignment="1">
      <alignment horizontal="left" vertical="center" wrapText="1"/>
    </xf>
    <xf numFmtId="0" fontId="30" fillId="0" borderId="12" xfId="0" applyFont="1" applyBorder="1" applyAlignment="1">
      <alignment vertical="center" wrapText="1"/>
    </xf>
    <xf numFmtId="0" fontId="30" fillId="0" borderId="12" xfId="0" applyFont="1" applyBorder="1" applyAlignment="1">
      <alignment vertical="center"/>
    </xf>
    <xf numFmtId="169" fontId="11" fillId="0" borderId="12" xfId="0" applyNumberFormat="1" applyFont="1" applyBorder="1" applyAlignment="1">
      <alignment vertical="center"/>
    </xf>
    <xf numFmtId="0" fontId="11" fillId="0" borderId="12" xfId="0" applyFont="1" applyBorder="1" applyAlignment="1">
      <alignment vertical="center" wrapText="1"/>
    </xf>
    <xf numFmtId="0" fontId="0" fillId="0" borderId="12" xfId="0" applyBorder="1" applyAlignment="1">
      <alignment vertical="center"/>
    </xf>
    <xf numFmtId="169" fontId="0" fillId="0" borderId="12" xfId="0" applyNumberFormat="1" applyBorder="1" applyAlignment="1">
      <alignment vertical="center"/>
    </xf>
    <xf numFmtId="0" fontId="0" fillId="0" borderId="5" xfId="0" applyBorder="1" applyAlignment="1">
      <alignment vertical="center" wrapText="1"/>
    </xf>
    <xf numFmtId="0" fontId="0" fillId="0" borderId="6" xfId="0" applyBorder="1" applyAlignment="1">
      <alignment vertical="center" wrapText="1"/>
    </xf>
    <xf numFmtId="0" fontId="23" fillId="11" borderId="13" xfId="0" applyFont="1" applyFill="1" applyBorder="1" applyAlignment="1">
      <alignment horizontal="center" vertical="center" wrapText="1"/>
    </xf>
    <xf numFmtId="49" fontId="12"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18" fillId="8" borderId="13" xfId="0" applyFont="1" applyFill="1" applyBorder="1" applyAlignment="1">
      <alignment horizontal="center" vertical="center"/>
    </xf>
    <xf numFmtId="1" fontId="26" fillId="8" borderId="13" xfId="0" applyNumberFormat="1" applyFont="1" applyFill="1" applyBorder="1" applyAlignment="1">
      <alignment horizontal="center" vertical="center"/>
    </xf>
    <xf numFmtId="1" fontId="26" fillId="0" borderId="13" xfId="0" applyNumberFormat="1" applyFont="1" applyBorder="1" applyAlignment="1">
      <alignment horizontal="center" vertical="center"/>
    </xf>
    <xf numFmtId="0" fontId="19" fillId="2" borderId="13" xfId="1" applyFont="1" applyBorder="1" applyAlignment="1">
      <alignment horizontal="center" vertical="center"/>
    </xf>
    <xf numFmtId="1" fontId="19" fillId="2" borderId="13" xfId="1" applyNumberFormat="1" applyFont="1" applyBorder="1" applyAlignment="1">
      <alignment horizontal="center" vertical="center"/>
    </xf>
    <xf numFmtId="0" fontId="17" fillId="8" borderId="13" xfId="0" applyFont="1" applyFill="1" applyBorder="1" applyAlignment="1">
      <alignment horizontal="center" vertical="center"/>
    </xf>
    <xf numFmtId="1" fontId="19" fillId="2" borderId="13" xfId="1" applyNumberFormat="1" applyFont="1" applyBorder="1" applyAlignment="1">
      <alignment horizontal="center" vertical="center" wrapText="1"/>
    </xf>
    <xf numFmtId="0" fontId="17" fillId="0" borderId="25" xfId="0" applyFont="1" applyBorder="1" applyAlignment="1">
      <alignment horizontal="center" vertical="center"/>
    </xf>
    <xf numFmtId="0" fontId="15" fillId="12" borderId="31" xfId="0" applyFont="1" applyFill="1" applyBorder="1" applyAlignment="1">
      <alignment horizontal="center" vertical="center" wrapText="1"/>
    </xf>
    <xf numFmtId="0" fontId="27" fillId="12" borderId="27" xfId="0" applyFont="1" applyFill="1" applyBorder="1"/>
    <xf numFmtId="0" fontId="31" fillId="21" borderId="12" xfId="0" applyFont="1" applyFill="1" applyBorder="1" applyAlignment="1">
      <alignment horizontal="center" vertical="center"/>
    </xf>
    <xf numFmtId="0" fontId="31" fillId="21" borderId="12" xfId="0" applyFont="1" applyFill="1" applyBorder="1" applyAlignment="1">
      <alignment horizontal="center" vertical="center" wrapText="1"/>
    </xf>
    <xf numFmtId="0" fontId="27" fillId="19" borderId="12" xfId="0" applyFont="1" applyFill="1" applyBorder="1" applyAlignment="1">
      <alignment horizontal="center" vertical="center" wrapText="1"/>
    </xf>
    <xf numFmtId="0" fontId="11" fillId="0" borderId="12" xfId="0" applyFont="1" applyBorder="1" applyAlignment="1">
      <alignment horizontal="center"/>
    </xf>
    <xf numFmtId="0" fontId="11" fillId="0" borderId="12" xfId="0" applyFont="1" applyBorder="1" applyAlignment="1">
      <alignment wrapText="1"/>
    </xf>
    <xf numFmtId="0" fontId="39" fillId="0" borderId="12" xfId="0" applyFont="1" applyBorder="1" applyAlignment="1">
      <alignment horizontal="center" vertical="center" wrapText="1"/>
    </xf>
    <xf numFmtId="170" fontId="39" fillId="0" borderId="12" xfId="0" applyNumberFormat="1" applyFont="1" applyBorder="1" applyAlignment="1">
      <alignment horizontal="center" vertical="center" wrapText="1"/>
    </xf>
    <xf numFmtId="9" fontId="39" fillId="0" borderId="12" xfId="0" applyNumberFormat="1" applyFont="1" applyBorder="1" applyAlignment="1">
      <alignment horizontal="center" vertical="center" wrapText="1"/>
    </xf>
    <xf numFmtId="171" fontId="39" fillId="0" borderId="12" xfId="0" applyNumberFormat="1" applyFont="1" applyBorder="1" applyAlignment="1">
      <alignment vertical="center" wrapText="1"/>
    </xf>
    <xf numFmtId="0" fontId="39" fillId="20" borderId="12" xfId="0" applyFont="1" applyFill="1" applyBorder="1" applyAlignment="1">
      <alignment horizontal="center" vertical="center" wrapText="1"/>
    </xf>
    <xf numFmtId="0" fontId="41" fillId="0" borderId="22" xfId="0" applyFont="1" applyBorder="1" applyAlignment="1">
      <alignment wrapText="1"/>
    </xf>
    <xf numFmtId="0" fontId="41" fillId="0" borderId="34" xfId="0" applyFont="1" applyBorder="1" applyAlignment="1">
      <alignment wrapText="1"/>
    </xf>
    <xf numFmtId="0" fontId="41" fillId="0" borderId="29" xfId="0" applyFont="1" applyBorder="1" applyAlignment="1">
      <alignment wrapText="1"/>
    </xf>
    <xf numFmtId="0" fontId="41" fillId="0" borderId="13" xfId="0" applyFont="1" applyBorder="1" applyAlignment="1">
      <alignment wrapText="1"/>
    </xf>
    <xf numFmtId="0" fontId="41" fillId="15" borderId="35" xfId="0" applyFont="1" applyFill="1" applyBorder="1" applyAlignment="1">
      <alignment horizontal="left" wrapText="1"/>
    </xf>
    <xf numFmtId="0" fontId="41" fillId="0" borderId="35" xfId="0" applyFont="1" applyBorder="1" applyAlignment="1">
      <alignment wrapText="1"/>
    </xf>
    <xf numFmtId="0" fontId="40" fillId="21" borderId="33" xfId="0" applyFont="1" applyFill="1" applyBorder="1" applyAlignment="1">
      <alignment horizontal="center" vertical="center" wrapText="1"/>
    </xf>
    <xf numFmtId="0" fontId="40" fillId="21" borderId="34" xfId="0" applyFont="1" applyFill="1" applyBorder="1" applyAlignment="1">
      <alignment horizontal="center" vertical="center" wrapText="1"/>
    </xf>
    <xf numFmtId="0" fontId="37" fillId="18" borderId="12" xfId="0" applyFont="1" applyFill="1" applyBorder="1" applyAlignment="1">
      <alignment horizontal="center" vertical="center"/>
    </xf>
    <xf numFmtId="0" fontId="35" fillId="15" borderId="12" xfId="0" applyFont="1" applyFill="1" applyBorder="1" applyAlignment="1">
      <alignment horizontal="center" vertical="center"/>
    </xf>
    <xf numFmtId="0" fontId="38" fillId="0" borderId="12" xfId="0" applyFont="1" applyBorder="1" applyAlignment="1">
      <alignment horizontal="center" vertical="center" wrapText="1"/>
    </xf>
    <xf numFmtId="0" fontId="38" fillId="17" borderId="12" xfId="0" applyFont="1" applyFill="1" applyBorder="1" applyAlignment="1">
      <alignment horizontal="center" vertical="center"/>
    </xf>
    <xf numFmtId="0" fontId="35" fillId="16" borderId="12" xfId="0" applyFont="1" applyFill="1" applyBorder="1" applyAlignment="1">
      <alignment horizontal="center" vertical="center"/>
    </xf>
    <xf numFmtId="0" fontId="38" fillId="0" borderId="12" xfId="0" applyFont="1" applyBorder="1" applyAlignment="1">
      <alignment horizontal="center" vertical="center"/>
    </xf>
    <xf numFmtId="0" fontId="38" fillId="17" borderId="12" xfId="0" applyFont="1" applyFill="1" applyBorder="1" applyAlignment="1">
      <alignment horizontal="center" vertical="center" wrapText="1"/>
    </xf>
    <xf numFmtId="0" fontId="35" fillId="0" borderId="12" xfId="0" applyFont="1" applyBorder="1" applyAlignment="1">
      <alignment horizontal="center" vertical="center"/>
    </xf>
    <xf numFmtId="0" fontId="42" fillId="0" borderId="37" xfId="0" applyFont="1" applyBorder="1" applyAlignment="1">
      <alignment horizontal="center" vertical="center"/>
    </xf>
    <xf numFmtId="0" fontId="0" fillId="0" borderId="38" xfId="0" applyBorder="1" applyAlignment="1">
      <alignment horizontal="center" vertical="center"/>
    </xf>
    <xf numFmtId="0" fontId="10" fillId="4" borderId="39" xfId="0" applyFont="1" applyFill="1" applyBorder="1" applyAlignment="1">
      <alignment horizontal="center" vertical="center" wrapText="1"/>
    </xf>
    <xf numFmtId="0" fontId="10" fillId="4" borderId="39" xfId="0" applyFont="1" applyFill="1" applyBorder="1" applyAlignment="1">
      <alignment horizontal="center" vertical="center"/>
    </xf>
    <xf numFmtId="167" fontId="11" fillId="5" borderId="42" xfId="0" applyNumberFormat="1" applyFont="1" applyFill="1" applyBorder="1" applyAlignment="1">
      <alignment vertical="top" wrapText="1"/>
    </xf>
    <xf numFmtId="167" fontId="11" fillId="0" borderId="43" xfId="0" applyNumberFormat="1" applyFont="1" applyBorder="1" applyAlignment="1">
      <alignment vertical="top" wrapText="1"/>
    </xf>
    <xf numFmtId="167" fontId="11" fillId="0" borderId="43" xfId="0" applyNumberFormat="1" applyFont="1" applyBorder="1" applyAlignment="1">
      <alignment horizontal="center" vertical="top" wrapText="1"/>
    </xf>
    <xf numFmtId="167" fontId="11" fillId="0" borderId="44" xfId="0" applyNumberFormat="1" applyFont="1" applyBorder="1" applyAlignment="1">
      <alignment vertical="top" wrapText="1"/>
    </xf>
    <xf numFmtId="0" fontId="0" fillId="0" borderId="38" xfId="0" applyBorder="1" applyAlignment="1">
      <alignment horizontal="center"/>
    </xf>
    <xf numFmtId="0" fontId="0" fillId="0" borderId="36" xfId="0" applyBorder="1" applyAlignment="1">
      <alignment horizontal="center"/>
    </xf>
    <xf numFmtId="0" fontId="42" fillId="22" borderId="28" xfId="0" applyFont="1" applyFill="1" applyBorder="1" applyAlignment="1">
      <alignment horizontal="center" vertical="center"/>
    </xf>
    <xf numFmtId="0" fontId="0" fillId="22" borderId="36" xfId="0" applyFill="1" applyBorder="1" applyAlignment="1">
      <alignment horizontal="center" vertical="center"/>
    </xf>
    <xf numFmtId="0" fontId="32" fillId="0" borderId="1" xfId="0" applyFont="1" applyBorder="1"/>
    <xf numFmtId="0" fontId="0" fillId="0" borderId="2" xfId="0" applyBorder="1" applyAlignment="1">
      <alignment horizontal="left"/>
    </xf>
    <xf numFmtId="0" fontId="0" fillId="0" borderId="4" xfId="0" applyBorder="1" applyAlignment="1">
      <alignment horizontal="left"/>
    </xf>
    <xf numFmtId="0" fontId="32" fillId="0" borderId="8" xfId="0" applyFont="1" applyBorder="1" applyAlignment="1">
      <alignment horizontal="center"/>
    </xf>
    <xf numFmtId="0" fontId="32" fillId="0" borderId="0" xfId="0" applyFont="1" applyAlignment="1">
      <alignment horizontal="center"/>
    </xf>
    <xf numFmtId="0" fontId="32" fillId="0" borderId="3" xfId="0" applyFont="1" applyBorder="1" applyAlignment="1">
      <alignment horizontal="right"/>
    </xf>
    <xf numFmtId="0" fontId="32" fillId="0" borderId="5" xfId="0" applyFont="1" applyBorder="1" applyAlignment="1">
      <alignment horizontal="left"/>
    </xf>
    <xf numFmtId="0" fontId="32" fillId="0" borderId="11" xfId="0" applyFont="1" applyBorder="1" applyAlignment="1">
      <alignment horizontal="center"/>
    </xf>
    <xf numFmtId="0" fontId="16" fillId="0" borderId="32" xfId="0" applyFont="1" applyBorder="1" applyAlignment="1">
      <alignment horizontal="center" vertical="center"/>
    </xf>
    <xf numFmtId="0" fontId="13" fillId="0" borderId="28" xfId="0" applyFont="1" applyBorder="1" applyAlignment="1">
      <alignment horizontal="center" vertical="center" wrapText="1"/>
    </xf>
    <xf numFmtId="0" fontId="16" fillId="0" borderId="39" xfId="0" applyFont="1" applyBorder="1" applyAlignment="1">
      <alignment horizontal="center" vertical="center"/>
    </xf>
    <xf numFmtId="0" fontId="13" fillId="0" borderId="28" xfId="0" applyFont="1" applyBorder="1" applyAlignment="1">
      <alignment horizontal="center" vertical="center"/>
    </xf>
    <xf numFmtId="0" fontId="21" fillId="23" borderId="20" xfId="0" applyFont="1" applyFill="1" applyBorder="1" applyAlignment="1">
      <alignment horizontal="center" vertical="center"/>
    </xf>
    <xf numFmtId="0" fontId="17" fillId="23" borderId="20" xfId="0" applyFont="1" applyFill="1" applyBorder="1" applyAlignment="1">
      <alignment horizontal="center" vertical="center"/>
    </xf>
    <xf numFmtId="0" fontId="13" fillId="9" borderId="28" xfId="0" applyFont="1" applyFill="1" applyBorder="1" applyAlignment="1">
      <alignment horizontal="center" vertical="center" wrapText="1"/>
    </xf>
    <xf numFmtId="0" fontId="42" fillId="0" borderId="0" xfId="0" applyFont="1" applyAlignment="1">
      <alignment horizontal="center" vertical="center"/>
    </xf>
    <xf numFmtId="0" fontId="20" fillId="7" borderId="13" xfId="0" applyFont="1" applyFill="1" applyBorder="1" applyAlignment="1">
      <alignment horizontal="center" vertical="center" wrapText="1"/>
    </xf>
    <xf numFmtId="0" fontId="29" fillId="0" borderId="13" xfId="0" applyFont="1" applyBorder="1" applyAlignment="1">
      <alignment horizontal="center" vertical="center" wrapText="1"/>
    </xf>
    <xf numFmtId="0" fontId="29" fillId="0" borderId="18" xfId="0" applyFont="1" applyBorder="1" applyAlignment="1">
      <alignment horizontal="center" vertical="center" wrapText="1"/>
    </xf>
    <xf numFmtId="0" fontId="43" fillId="0" borderId="18" xfId="1" applyFont="1" applyFill="1" applyBorder="1" applyAlignment="1">
      <alignment horizontal="center" vertical="center" wrapText="1"/>
    </xf>
    <xf numFmtId="0" fontId="43" fillId="0" borderId="13" xfId="1" applyFont="1" applyFill="1" applyBorder="1" applyAlignment="1">
      <alignment horizontal="center" vertical="center" wrapText="1"/>
    </xf>
    <xf numFmtId="0" fontId="23" fillId="0" borderId="13" xfId="0" applyFont="1" applyBorder="1" applyAlignment="1">
      <alignment horizontal="center" vertical="center" wrapText="1"/>
    </xf>
    <xf numFmtId="0" fontId="22" fillId="9" borderId="20" xfId="1" applyFont="1" applyFill="1" applyBorder="1" applyAlignment="1">
      <alignment horizontal="center" vertical="center"/>
    </xf>
    <xf numFmtId="0" fontId="31" fillId="13" borderId="1" xfId="0" applyFont="1" applyFill="1" applyBorder="1" applyAlignment="1">
      <alignment vertical="center"/>
    </xf>
    <xf numFmtId="0" fontId="11" fillId="0" borderId="45" xfId="0" applyFont="1" applyBorder="1" applyAlignment="1">
      <alignment vertical="center"/>
    </xf>
    <xf numFmtId="0" fontId="31" fillId="13" borderId="46" xfId="0" applyFont="1" applyFill="1" applyBorder="1" applyAlignment="1">
      <alignment vertical="center"/>
    </xf>
    <xf numFmtId="0" fontId="11" fillId="0" borderId="47" xfId="0" applyFont="1" applyBorder="1" applyAlignment="1">
      <alignment vertical="center"/>
    </xf>
    <xf numFmtId="0" fontId="31" fillId="13" borderId="48" xfId="0" applyFont="1" applyFill="1" applyBorder="1" applyAlignment="1">
      <alignment vertical="center"/>
    </xf>
    <xf numFmtId="0" fontId="11" fillId="0" borderId="49" xfId="0" applyFont="1" applyBorder="1" applyAlignment="1">
      <alignment vertical="center"/>
    </xf>
    <xf numFmtId="0" fontId="42" fillId="0" borderId="50" xfId="0" applyFont="1" applyBorder="1" applyAlignment="1">
      <alignment vertical="center"/>
    </xf>
    <xf numFmtId="0" fontId="11" fillId="0" borderId="51" xfId="0" applyFont="1" applyBorder="1" applyAlignment="1">
      <alignment vertical="center" wrapText="1"/>
    </xf>
    <xf numFmtId="0" fontId="42" fillId="0" borderId="52" xfId="0" applyFont="1" applyBorder="1" applyAlignment="1">
      <alignment vertical="center"/>
    </xf>
    <xf numFmtId="0" fontId="11" fillId="0" borderId="45" xfId="0" applyFont="1" applyBorder="1" applyAlignment="1">
      <alignment horizontal="left" vertical="center" wrapText="1"/>
    </xf>
    <xf numFmtId="0" fontId="42" fillId="0" borderId="53" xfId="0" applyFont="1" applyBorder="1" applyAlignment="1">
      <alignment vertical="center"/>
    </xf>
    <xf numFmtId="0" fontId="11" fillId="0" borderId="47" xfId="0" applyFont="1" applyBorder="1" applyAlignment="1">
      <alignment vertical="center" wrapText="1"/>
    </xf>
    <xf numFmtId="0" fontId="42" fillId="0" borderId="54" xfId="0" applyFont="1" applyBorder="1" applyAlignment="1">
      <alignment vertical="center"/>
    </xf>
    <xf numFmtId="0" fontId="11" fillId="0" borderId="49" xfId="0" applyFont="1" applyBorder="1" applyAlignment="1">
      <alignment vertical="center" wrapText="1"/>
    </xf>
    <xf numFmtId="0" fontId="32" fillId="0" borderId="55" xfId="0" applyFont="1" applyBorder="1" applyAlignment="1">
      <alignment horizontal="right"/>
    </xf>
    <xf numFmtId="0" fontId="5" fillId="0" borderId="56" xfId="3" applyBorder="1"/>
    <xf numFmtId="0" fontId="32" fillId="0" borderId="57" xfId="0" applyFont="1" applyBorder="1" applyAlignment="1">
      <alignment horizontal="right"/>
    </xf>
    <xf numFmtId="0" fontId="5" fillId="0" borderId="58" xfId="3" applyBorder="1"/>
    <xf numFmtId="0" fontId="32" fillId="0" borderId="59" xfId="0" applyFont="1" applyBorder="1" applyAlignment="1">
      <alignment horizontal="right"/>
    </xf>
    <xf numFmtId="0" fontId="5" fillId="0" borderId="60" xfId="3" applyBorder="1"/>
    <xf numFmtId="0" fontId="0" fillId="0" borderId="12" xfId="0" applyBorder="1" applyAlignment="1">
      <alignment vertical="center" wrapText="1"/>
    </xf>
    <xf numFmtId="0" fontId="0" fillId="0" borderId="12" xfId="0" applyBorder="1" applyAlignment="1">
      <alignment horizontal="left" vertical="center" wrapText="1"/>
    </xf>
    <xf numFmtId="14" fontId="0" fillId="0" borderId="12" xfId="0" applyNumberFormat="1" applyBorder="1"/>
    <xf numFmtId="0" fontId="4" fillId="3" borderId="3" xfId="2" applyFont="1" applyFill="1" applyBorder="1" applyAlignment="1">
      <alignment horizontal="right" vertical="center"/>
    </xf>
    <xf numFmtId="0" fontId="4" fillId="3" borderId="5" xfId="2" applyFont="1" applyFill="1" applyBorder="1" applyAlignment="1">
      <alignment horizontal="right" vertical="center"/>
    </xf>
    <xf numFmtId="0" fontId="3" fillId="3" borderId="0" xfId="2" applyFont="1" applyFill="1" applyAlignment="1">
      <alignment horizontal="center" vertical="center"/>
    </xf>
    <xf numFmtId="0" fontId="3" fillId="3" borderId="11" xfId="2" applyFont="1" applyFill="1" applyBorder="1" applyAlignment="1">
      <alignment horizontal="center" vertical="center"/>
    </xf>
    <xf numFmtId="0" fontId="13" fillId="6" borderId="30" xfId="0" applyFont="1" applyFill="1" applyBorder="1" applyAlignment="1">
      <alignment horizontal="center" vertical="center"/>
    </xf>
    <xf numFmtId="0" fontId="14" fillId="0" borderId="30" xfId="0" applyFont="1" applyBorder="1"/>
    <xf numFmtId="0" fontId="14" fillId="0" borderId="41" xfId="0" applyFont="1" applyBorder="1"/>
    <xf numFmtId="49" fontId="12" fillId="6" borderId="14" xfId="0" applyNumberFormat="1" applyFont="1" applyFill="1" applyBorder="1" applyAlignment="1">
      <alignment horizontal="center" vertical="center"/>
    </xf>
    <xf numFmtId="0" fontId="14" fillId="0" borderId="17" xfId="0" applyFont="1" applyBorder="1"/>
    <xf numFmtId="49" fontId="12" fillId="6" borderId="15" xfId="0" applyNumberFormat="1" applyFont="1" applyFill="1" applyBorder="1" applyAlignment="1">
      <alignment horizontal="center" vertical="center"/>
    </xf>
    <xf numFmtId="0" fontId="14" fillId="0" borderId="18" xfId="0" applyFont="1" applyBorder="1"/>
    <xf numFmtId="0" fontId="12" fillId="6" borderId="15" xfId="0" applyFont="1" applyFill="1" applyBorder="1" applyAlignment="1">
      <alignment horizontal="center" vertical="center"/>
    </xf>
    <xf numFmtId="0" fontId="12" fillId="6" borderId="16" xfId="0" applyFont="1" applyFill="1" applyBorder="1" applyAlignment="1">
      <alignment horizontal="center" vertical="center"/>
    </xf>
    <xf numFmtId="0" fontId="14" fillId="0" borderId="19" xfId="0" applyFont="1" applyBorder="1"/>
    <xf numFmtId="0" fontId="13" fillId="6" borderId="40" xfId="0" applyFont="1" applyFill="1" applyBorder="1" applyAlignment="1">
      <alignment horizontal="center" vertical="center"/>
    </xf>
    <xf numFmtId="49" fontId="12" fillId="6" borderId="18" xfId="0" applyNumberFormat="1" applyFont="1" applyFill="1" applyBorder="1" applyAlignment="1">
      <alignment horizontal="center" vertical="center"/>
    </xf>
    <xf numFmtId="0" fontId="34" fillId="13" borderId="0" xfId="0" applyFont="1" applyFill="1" applyAlignment="1">
      <alignment horizontal="center" vertical="center"/>
    </xf>
    <xf numFmtId="0" fontId="31" fillId="13" borderId="0" xfId="0" applyFont="1" applyFill="1" applyAlignment="1">
      <alignment horizontal="center" vertical="center" wrapText="1"/>
    </xf>
    <xf numFmtId="0" fontId="31" fillId="13" borderId="0" xfId="0" applyFont="1" applyFill="1" applyAlignment="1">
      <alignment horizontal="left" vertical="center"/>
    </xf>
  </cellXfs>
  <cellStyles count="5">
    <cellStyle name="Bad" xfId="1" builtinId="27"/>
    <cellStyle name="Hyperlink" xfId="3" builtinId="8"/>
    <cellStyle name="Normal" xfId="0" builtinId="0"/>
    <cellStyle name="Κανονικό 2" xfId="2" xr:uid="{0D5188F9-4CD4-4DB9-B803-628669C34B1B}"/>
    <cellStyle name="Υπερ-σύνδεση 2" xfId="4" xr:uid="{D82DAA79-7BAD-412B-BE62-80634D8941AE}"/>
  </cellStyles>
  <dxfs count="9">
    <dxf>
      <fill>
        <patternFill patternType="solid">
          <fgColor rgb="FFD9E2F3"/>
          <bgColor rgb="FFD9E2F3"/>
        </patternFill>
      </fill>
    </dxf>
    <dxf>
      <fill>
        <patternFill patternType="solid">
          <fgColor rgb="FFFF0000"/>
          <bgColor rgb="FFFF0000"/>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B4C6E7"/>
          <bgColor rgb="FFB4C6E7"/>
        </patternFill>
      </fill>
    </dxf>
    <dxf>
      <fill>
        <patternFill patternType="solid">
          <fgColor rgb="FF2F5496"/>
          <bgColor rgb="FF2F5496"/>
        </patternFill>
      </fill>
    </dxf>
    <dxf>
      <fill>
        <patternFill patternType="solid">
          <fgColor rgb="FFFF9900"/>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x.com/@coevolution_eu" TargetMode="External"/><Relationship Id="rId7" Type="http://schemas.openxmlformats.org/officeDocument/2006/relationships/hyperlink" Target="https://bsky.app/profile/coevolution-eu.bsky.social" TargetMode="External"/><Relationship Id="rId2" Type="http://schemas.openxmlformats.org/officeDocument/2006/relationships/hyperlink" Target="https://coevolution-project.eu/" TargetMode="External"/><Relationship Id="rId1" Type="http://schemas.openxmlformats.org/officeDocument/2006/relationships/hyperlink" Target="mailto:all-bounces@coevolution-project.eu" TargetMode="External"/><Relationship Id="rId6" Type="http://schemas.openxmlformats.org/officeDocument/2006/relationships/hyperlink" Target="https://www.youtube.com/@CoEvolutionEUH2020" TargetMode="External"/><Relationship Id="rId5" Type="http://schemas.openxmlformats.org/officeDocument/2006/relationships/hyperlink" Target="https://www.facebook.com/people/CoEvolution-EUHorizon/61572810781073/" TargetMode="External"/><Relationship Id="rId4" Type="http://schemas.openxmlformats.org/officeDocument/2006/relationships/hyperlink" Target="https://www.linkedin.com/company/coevolution-eu-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3521-1CD5-4F88-9882-88C226B341D5}">
  <sheetPr>
    <tabColor rgb="FF92D050"/>
  </sheetPr>
  <dimension ref="B1:G40"/>
  <sheetViews>
    <sheetView workbookViewId="0">
      <selection activeCell="D13" sqref="D13"/>
    </sheetView>
  </sheetViews>
  <sheetFormatPr defaultRowHeight="14.25" x14ac:dyDescent="0.45"/>
  <cols>
    <col min="1" max="1" width="1.1328125" customWidth="1"/>
    <col min="2" max="2" width="20.53125" customWidth="1"/>
    <col min="3" max="3" width="3.6640625" customWidth="1"/>
    <col min="4" max="4" width="45.6640625" customWidth="1"/>
    <col min="6" max="6" width="43.1328125" customWidth="1"/>
    <col min="7" max="7" width="67" customWidth="1"/>
  </cols>
  <sheetData>
    <row r="1" spans="2:7" ht="14.65" thickBot="1" x14ac:dyDescent="0.5">
      <c r="B1" s="17"/>
      <c r="C1" s="17"/>
      <c r="D1" s="17"/>
      <c r="E1" s="16"/>
    </row>
    <row r="2" spans="2:7" s="1" customFormat="1" ht="42.75" x14ac:dyDescent="0.45">
      <c r="B2" s="27" t="s">
        <v>0</v>
      </c>
      <c r="C2" s="28" t="s">
        <v>1</v>
      </c>
      <c r="D2" s="31" t="s">
        <v>13</v>
      </c>
      <c r="E2" s="19"/>
      <c r="F2" s="2" t="s">
        <v>19</v>
      </c>
      <c r="G2" s="3" t="s">
        <v>26</v>
      </c>
    </row>
    <row r="3" spans="2:7" ht="22.45" customHeight="1" x14ac:dyDescent="0.45">
      <c r="B3" s="20" t="s">
        <v>2</v>
      </c>
      <c r="C3" s="18" t="s">
        <v>1</v>
      </c>
      <c r="D3" s="5" t="s">
        <v>3</v>
      </c>
      <c r="F3" s="4" t="s">
        <v>20</v>
      </c>
      <c r="G3" s="5" t="s">
        <v>24</v>
      </c>
    </row>
    <row r="4" spans="2:7" ht="24" customHeight="1" x14ac:dyDescent="0.45">
      <c r="B4" s="20" t="s">
        <v>4</v>
      </c>
      <c r="C4" s="18" t="s">
        <v>1</v>
      </c>
      <c r="D4" s="5" t="s">
        <v>14</v>
      </c>
      <c r="F4" s="6" t="s">
        <v>21</v>
      </c>
      <c r="G4" s="7"/>
    </row>
    <row r="5" spans="2:7" ht="25.45" customHeight="1" x14ac:dyDescent="0.45">
      <c r="B5" s="20" t="s">
        <v>5</v>
      </c>
      <c r="C5" s="18" t="s">
        <v>1</v>
      </c>
      <c r="D5" s="21" t="s">
        <v>15</v>
      </c>
      <c r="F5" s="4" t="s">
        <v>22</v>
      </c>
      <c r="G5" s="5" t="s">
        <v>25</v>
      </c>
    </row>
    <row r="6" spans="2:7" ht="25.45" customHeight="1" thickBot="1" x14ac:dyDescent="0.5">
      <c r="B6" s="20" t="s">
        <v>310</v>
      </c>
      <c r="C6" s="18"/>
      <c r="D6" s="21">
        <v>101168560</v>
      </c>
      <c r="F6" s="8" t="s">
        <v>23</v>
      </c>
      <c r="G6" s="9" t="s">
        <v>233</v>
      </c>
    </row>
    <row r="7" spans="2:7" ht="24.75" customHeight="1" thickBot="1" x14ac:dyDescent="0.5">
      <c r="B7" s="20" t="s">
        <v>6</v>
      </c>
      <c r="C7" s="18" t="s">
        <v>1</v>
      </c>
      <c r="D7" s="21" t="s">
        <v>16</v>
      </c>
    </row>
    <row r="8" spans="2:7" ht="16.149999999999999" thickBot="1" x14ac:dyDescent="0.5">
      <c r="B8" s="32" t="s">
        <v>7</v>
      </c>
      <c r="C8" s="29" t="s">
        <v>1</v>
      </c>
      <c r="D8" s="33"/>
      <c r="F8" s="219" t="s">
        <v>317</v>
      </c>
      <c r="G8" s="220" t="s">
        <v>311</v>
      </c>
    </row>
    <row r="9" spans="2:7" ht="16.149999999999999" thickBot="1" x14ac:dyDescent="0.5">
      <c r="B9" s="25"/>
      <c r="C9" s="18"/>
      <c r="D9" s="30"/>
      <c r="F9" s="221" t="s">
        <v>318</v>
      </c>
      <c r="G9" s="222" t="s">
        <v>312</v>
      </c>
    </row>
    <row r="10" spans="2:7" ht="15.75" x14ac:dyDescent="0.45">
      <c r="B10" s="34" t="s">
        <v>8</v>
      </c>
      <c r="C10" s="35" t="s">
        <v>1</v>
      </c>
      <c r="D10" s="36">
        <v>45597</v>
      </c>
      <c r="F10" s="221" t="s">
        <v>319</v>
      </c>
      <c r="G10" s="222" t="s">
        <v>313</v>
      </c>
    </row>
    <row r="11" spans="2:7" ht="16.149999999999999" thickBot="1" x14ac:dyDescent="0.5">
      <c r="B11" s="32" t="s">
        <v>9</v>
      </c>
      <c r="C11" s="29" t="s">
        <v>1</v>
      </c>
      <c r="D11" s="37" t="s">
        <v>17</v>
      </c>
      <c r="F11" s="221" t="s">
        <v>320</v>
      </c>
      <c r="G11" s="222" t="s">
        <v>314</v>
      </c>
    </row>
    <row r="12" spans="2:7" ht="16.149999999999999" thickBot="1" x14ac:dyDescent="0.5">
      <c r="B12" s="26"/>
      <c r="C12" s="18"/>
      <c r="D12" s="10"/>
      <c r="F12" s="221" t="s">
        <v>321</v>
      </c>
      <c r="G12" s="222" t="s">
        <v>315</v>
      </c>
    </row>
    <row r="13" spans="2:7" ht="16.149999999999999" thickBot="1" x14ac:dyDescent="0.5">
      <c r="B13" s="38" t="s">
        <v>10</v>
      </c>
      <c r="C13" s="35" t="s">
        <v>1</v>
      </c>
      <c r="D13" s="39">
        <v>5999688.75</v>
      </c>
      <c r="F13" s="223" t="s">
        <v>322</v>
      </c>
      <c r="G13" s="224" t="s">
        <v>316</v>
      </c>
    </row>
    <row r="14" spans="2:7" ht="15.75" x14ac:dyDescent="0.45">
      <c r="B14" s="22" t="s">
        <v>11</v>
      </c>
      <c r="C14" s="18" t="s">
        <v>1</v>
      </c>
      <c r="D14" s="40">
        <v>5999688.75</v>
      </c>
    </row>
    <row r="15" spans="2:7" ht="15.75" x14ac:dyDescent="0.45">
      <c r="B15" s="22"/>
      <c r="C15" s="18"/>
      <c r="D15" s="5"/>
    </row>
    <row r="16" spans="2:7" x14ac:dyDescent="0.45">
      <c r="B16" s="228" t="s">
        <v>12</v>
      </c>
      <c r="C16" s="230" t="s">
        <v>1</v>
      </c>
      <c r="D16" s="41" t="s">
        <v>18</v>
      </c>
    </row>
    <row r="17" spans="2:4" x14ac:dyDescent="0.45">
      <c r="B17" s="228"/>
      <c r="C17" s="230"/>
      <c r="D17" s="23"/>
    </row>
    <row r="18" spans="2:4" x14ac:dyDescent="0.45">
      <c r="B18" s="228"/>
      <c r="C18" s="230"/>
      <c r="D18" s="23"/>
    </row>
    <row r="19" spans="2:4" ht="14.65" thickBot="1" x14ac:dyDescent="0.5">
      <c r="B19" s="229"/>
      <c r="C19" s="231"/>
      <c r="D19" s="24"/>
    </row>
    <row r="20" spans="2:4" ht="14.65" thickBot="1" x14ac:dyDescent="0.5"/>
    <row r="21" spans="2:4" x14ac:dyDescent="0.45">
      <c r="B21" s="182" t="s">
        <v>304</v>
      </c>
      <c r="C21" s="185" t="s">
        <v>1</v>
      </c>
      <c r="D21" s="183">
        <v>15</v>
      </c>
    </row>
    <row r="22" spans="2:4" x14ac:dyDescent="0.45">
      <c r="B22" s="187" t="s">
        <v>305</v>
      </c>
      <c r="C22" s="186" t="s">
        <v>1</v>
      </c>
      <c r="D22" s="184">
        <v>3</v>
      </c>
    </row>
    <row r="23" spans="2:4" x14ac:dyDescent="0.45">
      <c r="B23" s="187" t="s">
        <v>307</v>
      </c>
      <c r="C23" s="186" t="s">
        <v>1</v>
      </c>
      <c r="D23" s="184">
        <v>6</v>
      </c>
    </row>
    <row r="24" spans="2:4" x14ac:dyDescent="0.45">
      <c r="B24" s="187" t="s">
        <v>306</v>
      </c>
      <c r="C24" s="186" t="s">
        <v>1</v>
      </c>
      <c r="D24" s="184">
        <v>6</v>
      </c>
    </row>
    <row r="25" spans="2:4" ht="14.65" thickBot="1" x14ac:dyDescent="0.5">
      <c r="B25" s="188" t="s">
        <v>309</v>
      </c>
      <c r="C25" s="189" t="s">
        <v>1</v>
      </c>
      <c r="D25" s="100" t="s">
        <v>308</v>
      </c>
    </row>
    <row r="36" spans="4:5" x14ac:dyDescent="0.45">
      <c r="D36" s="11"/>
      <c r="E36" s="12"/>
    </row>
    <row r="37" spans="4:5" x14ac:dyDescent="0.45">
      <c r="D37" s="13"/>
      <c r="E37" s="12"/>
    </row>
    <row r="38" spans="4:5" x14ac:dyDescent="0.45">
      <c r="D38" s="14"/>
      <c r="E38" s="15"/>
    </row>
    <row r="39" spans="4:5" x14ac:dyDescent="0.45">
      <c r="D39" s="13"/>
      <c r="E39" s="12"/>
    </row>
    <row r="40" spans="4:5" x14ac:dyDescent="0.45">
      <c r="D40" s="13"/>
      <c r="E40" s="12"/>
    </row>
  </sheetData>
  <mergeCells count="2">
    <mergeCell ref="B16:B19"/>
    <mergeCell ref="C16:C19"/>
  </mergeCells>
  <hyperlinks>
    <hyperlink ref="D16" r:id="rId1" xr:uid="{BDC3D983-E3AD-4062-98A7-E79D8A6A1DE2}"/>
    <hyperlink ref="G8" r:id="rId2" xr:uid="{AD6FFE60-22C1-4D26-8D29-F088E9F63999}"/>
    <hyperlink ref="G9" r:id="rId3" xr:uid="{5E36E571-EDF3-4993-93E0-DEE4A6E493D7}"/>
    <hyperlink ref="G10" r:id="rId4" xr:uid="{BA7B1275-7566-4497-85EF-42C06EA81AB1}"/>
    <hyperlink ref="G11" r:id="rId5" xr:uid="{937894A1-548C-41B6-A76A-1E152EEFBC90}"/>
    <hyperlink ref="G12" r:id="rId6" xr:uid="{65DCE1AE-F2E0-4574-9CD4-184312BD58B6}"/>
    <hyperlink ref="G13" r:id="rId7" xr:uid="{F436E21F-BAE5-4CCE-AC7C-4CFF7F6121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C545-1234-4593-84FF-3B2892E99DD6}">
  <sheetPr>
    <tabColor theme="7" tint="0.59999389629810485"/>
  </sheetPr>
  <dimension ref="A1:K16"/>
  <sheetViews>
    <sheetView workbookViewId="0">
      <selection activeCell="F14" sqref="F14"/>
    </sheetView>
  </sheetViews>
  <sheetFormatPr defaultRowHeight="14.25" x14ac:dyDescent="0.45"/>
  <cols>
    <col min="1" max="1" width="4.86328125" style="115" customWidth="1"/>
    <col min="2" max="2" width="61" style="1" customWidth="1"/>
    <col min="3" max="3" width="14.46484375" style="115" customWidth="1"/>
    <col min="6" max="6" width="11.19921875" customWidth="1"/>
    <col min="7" max="7" width="13.33203125" customWidth="1"/>
    <col min="8" max="8" width="13.19921875" customWidth="1"/>
    <col min="9" max="9" width="14.6640625" customWidth="1"/>
    <col min="10" max="10" width="28.6640625" customWidth="1"/>
    <col min="11" max="11" width="38.53125" customWidth="1"/>
  </cols>
  <sheetData>
    <row r="1" spans="1:11" s="115" customFormat="1" ht="25.45" customHeight="1" x14ac:dyDescent="0.45">
      <c r="A1" s="144" t="s">
        <v>241</v>
      </c>
      <c r="B1" s="145" t="s">
        <v>242</v>
      </c>
      <c r="C1" s="144" t="s">
        <v>243</v>
      </c>
      <c r="D1" s="146" t="s">
        <v>252</v>
      </c>
      <c r="E1" s="146" t="s">
        <v>131</v>
      </c>
      <c r="F1" s="146" t="s">
        <v>253</v>
      </c>
      <c r="G1" s="146" t="s">
        <v>254</v>
      </c>
      <c r="H1" s="146" t="s">
        <v>255</v>
      </c>
      <c r="I1" s="146" t="s">
        <v>256</v>
      </c>
      <c r="J1" s="160" t="s">
        <v>271</v>
      </c>
      <c r="K1" s="161" t="s">
        <v>272</v>
      </c>
    </row>
    <row r="2" spans="1:11" ht="28.5" x14ac:dyDescent="0.45">
      <c r="A2" s="147">
        <v>1</v>
      </c>
      <c r="B2" s="148" t="s">
        <v>234</v>
      </c>
      <c r="C2" s="147" t="s">
        <v>115</v>
      </c>
      <c r="D2" s="149" t="s">
        <v>257</v>
      </c>
      <c r="E2" s="149" t="s">
        <v>258</v>
      </c>
      <c r="F2" s="149">
        <v>999654356</v>
      </c>
      <c r="G2" s="150">
        <v>5000</v>
      </c>
      <c r="H2" s="152">
        <v>500000</v>
      </c>
      <c r="I2" s="151"/>
      <c r="J2" s="154" t="s">
        <v>273</v>
      </c>
      <c r="K2" s="154" t="s">
        <v>274</v>
      </c>
    </row>
    <row r="3" spans="1:11" ht="28.5" x14ac:dyDescent="0.45">
      <c r="A3" s="147">
        <v>2</v>
      </c>
      <c r="B3" s="148" t="s">
        <v>244</v>
      </c>
      <c r="C3" s="147" t="s">
        <v>116</v>
      </c>
      <c r="D3" s="149" t="s">
        <v>257</v>
      </c>
      <c r="E3" s="149" t="s">
        <v>258</v>
      </c>
      <c r="F3" s="149">
        <v>999562788</v>
      </c>
      <c r="G3" s="150">
        <v>5000</v>
      </c>
      <c r="H3" s="152">
        <v>450000</v>
      </c>
      <c r="I3" s="151"/>
      <c r="J3" s="154" t="s">
        <v>275</v>
      </c>
      <c r="K3" s="154" t="s">
        <v>276</v>
      </c>
    </row>
    <row r="4" spans="1:11" ht="28.5" x14ac:dyDescent="0.45">
      <c r="A4" s="147">
        <v>3</v>
      </c>
      <c r="B4" s="148" t="s">
        <v>235</v>
      </c>
      <c r="C4" s="147" t="s">
        <v>123</v>
      </c>
      <c r="D4" s="149" t="s">
        <v>259</v>
      </c>
      <c r="E4" s="149" t="s">
        <v>258</v>
      </c>
      <c r="F4" s="153">
        <v>999841663</v>
      </c>
      <c r="G4" s="150">
        <v>5000</v>
      </c>
      <c r="H4" s="152">
        <v>350000</v>
      </c>
      <c r="I4" s="151"/>
      <c r="J4" s="154" t="s">
        <v>277</v>
      </c>
      <c r="K4" s="154" t="s">
        <v>278</v>
      </c>
    </row>
    <row r="5" spans="1:11" ht="28.5" x14ac:dyDescent="0.45">
      <c r="A5" s="147">
        <v>4</v>
      </c>
      <c r="B5" s="148" t="s">
        <v>245</v>
      </c>
      <c r="C5" s="147" t="s">
        <v>129</v>
      </c>
      <c r="D5" s="149"/>
      <c r="E5" s="149"/>
      <c r="F5" s="149"/>
      <c r="G5" s="150"/>
      <c r="H5" s="152"/>
      <c r="I5" s="151"/>
      <c r="J5" s="154" t="s">
        <v>279</v>
      </c>
      <c r="K5" s="154" t="s">
        <v>280</v>
      </c>
    </row>
    <row r="6" spans="1:11" ht="28.5" x14ac:dyDescent="0.45">
      <c r="A6" s="147">
        <v>5</v>
      </c>
      <c r="B6" s="148" t="s">
        <v>236</v>
      </c>
      <c r="C6" s="147" t="s">
        <v>119</v>
      </c>
      <c r="D6" s="149" t="s">
        <v>260</v>
      </c>
      <c r="E6" s="149" t="s">
        <v>261</v>
      </c>
      <c r="F6" s="149">
        <v>999987260</v>
      </c>
      <c r="G6" s="150">
        <v>12180</v>
      </c>
      <c r="H6" s="152">
        <v>600000</v>
      </c>
      <c r="I6" s="149" t="s">
        <v>262</v>
      </c>
      <c r="J6" s="154" t="s">
        <v>281</v>
      </c>
      <c r="K6" s="154" t="s">
        <v>282</v>
      </c>
    </row>
    <row r="7" spans="1:11" ht="28.5" x14ac:dyDescent="0.45">
      <c r="A7" s="147">
        <v>6</v>
      </c>
      <c r="B7" s="148" t="s">
        <v>246</v>
      </c>
      <c r="C7" s="147" t="s">
        <v>117</v>
      </c>
      <c r="D7" s="149" t="s">
        <v>260</v>
      </c>
      <c r="E7" s="149" t="s">
        <v>263</v>
      </c>
      <c r="F7" s="149">
        <v>911867804</v>
      </c>
      <c r="G7" s="150">
        <v>7400</v>
      </c>
      <c r="H7" s="152">
        <v>450000</v>
      </c>
      <c r="I7" s="151"/>
      <c r="J7" s="154" t="s">
        <v>283</v>
      </c>
      <c r="K7" s="154" t="s">
        <v>284</v>
      </c>
    </row>
    <row r="8" spans="1:11" ht="42.75" x14ac:dyDescent="0.45">
      <c r="A8" s="147">
        <v>7</v>
      </c>
      <c r="B8" s="148" t="s">
        <v>237</v>
      </c>
      <c r="C8" s="147" t="s">
        <v>121</v>
      </c>
      <c r="D8" s="149" t="s">
        <v>264</v>
      </c>
      <c r="E8" s="149" t="s">
        <v>261</v>
      </c>
      <c r="F8" s="149">
        <v>917790915</v>
      </c>
      <c r="G8" s="150">
        <v>7513.6</v>
      </c>
      <c r="H8" s="152">
        <v>650000</v>
      </c>
      <c r="I8" s="151"/>
      <c r="J8" s="154" t="s">
        <v>285</v>
      </c>
      <c r="K8" s="154" t="s">
        <v>286</v>
      </c>
    </row>
    <row r="9" spans="1:11" ht="28.5" x14ac:dyDescent="0.45">
      <c r="A9" s="147">
        <v>8</v>
      </c>
      <c r="B9" s="148" t="s">
        <v>238</v>
      </c>
      <c r="C9" s="147" t="s">
        <v>124</v>
      </c>
      <c r="D9" s="149" t="s">
        <v>259</v>
      </c>
      <c r="E9" s="149" t="s">
        <v>258</v>
      </c>
      <c r="F9" s="149">
        <v>999862712</v>
      </c>
      <c r="G9" s="150">
        <v>4700</v>
      </c>
      <c r="H9" s="152">
        <v>350000</v>
      </c>
      <c r="I9" s="151"/>
      <c r="J9" s="154" t="s">
        <v>287</v>
      </c>
      <c r="K9" s="154" t="s">
        <v>288</v>
      </c>
    </row>
    <row r="10" spans="1:11" ht="42.75" x14ac:dyDescent="0.45">
      <c r="A10" s="147">
        <v>9</v>
      </c>
      <c r="B10" s="148" t="s">
        <v>239</v>
      </c>
      <c r="C10" s="147" t="s">
        <v>125</v>
      </c>
      <c r="D10" s="149" t="s">
        <v>265</v>
      </c>
      <c r="E10" s="149" t="s">
        <v>263</v>
      </c>
      <c r="F10" s="149">
        <v>895392645</v>
      </c>
      <c r="G10" s="150">
        <v>6100</v>
      </c>
      <c r="H10" s="152">
        <v>300000</v>
      </c>
      <c r="I10" s="151"/>
      <c r="J10" s="154" t="s">
        <v>289</v>
      </c>
      <c r="K10" s="154" t="s">
        <v>290</v>
      </c>
    </row>
    <row r="11" spans="1:11" x14ac:dyDescent="0.45">
      <c r="A11" s="147">
        <v>10</v>
      </c>
      <c r="B11" s="148" t="s">
        <v>247</v>
      </c>
      <c r="C11" s="147" t="s">
        <v>126</v>
      </c>
      <c r="D11" s="109"/>
      <c r="E11" s="109"/>
      <c r="F11" s="109"/>
      <c r="G11" s="109"/>
      <c r="H11" s="109"/>
      <c r="I11" s="151" t="s">
        <v>266</v>
      </c>
      <c r="J11" s="154" t="s">
        <v>291</v>
      </c>
      <c r="K11" s="154" t="s">
        <v>292</v>
      </c>
    </row>
    <row r="12" spans="1:11" ht="28.5" x14ac:dyDescent="0.45">
      <c r="A12" s="147">
        <v>11</v>
      </c>
      <c r="B12" s="148" t="s">
        <v>248</v>
      </c>
      <c r="C12" s="147" t="s">
        <v>122</v>
      </c>
      <c r="D12" s="149" t="s">
        <v>257</v>
      </c>
      <c r="E12" s="149" t="s">
        <v>263</v>
      </c>
      <c r="F12" s="149">
        <v>881486337</v>
      </c>
      <c r="G12" s="150">
        <v>5500</v>
      </c>
      <c r="H12" s="152">
        <v>400000</v>
      </c>
      <c r="I12" s="151" t="s">
        <v>266</v>
      </c>
      <c r="J12" s="154" t="s">
        <v>293</v>
      </c>
      <c r="K12" s="155" t="s">
        <v>294</v>
      </c>
    </row>
    <row r="13" spans="1:11" ht="28.5" x14ac:dyDescent="0.45">
      <c r="A13" s="147">
        <v>12</v>
      </c>
      <c r="B13" s="148" t="s">
        <v>249</v>
      </c>
      <c r="C13" s="147" t="s">
        <v>120</v>
      </c>
      <c r="D13" s="149" t="s">
        <v>257</v>
      </c>
      <c r="E13" s="149" t="s">
        <v>263</v>
      </c>
      <c r="F13" s="149">
        <v>884438338</v>
      </c>
      <c r="G13" s="150">
        <v>6500</v>
      </c>
      <c r="H13" s="152">
        <v>400000</v>
      </c>
      <c r="I13" s="149" t="s">
        <v>267</v>
      </c>
      <c r="J13" s="156" t="s">
        <v>295</v>
      </c>
      <c r="K13" s="157" t="s">
        <v>296</v>
      </c>
    </row>
    <row r="14" spans="1:11" ht="28.5" x14ac:dyDescent="0.45">
      <c r="A14" s="147">
        <v>13</v>
      </c>
      <c r="B14" s="148" t="s">
        <v>250</v>
      </c>
      <c r="C14" s="147" t="s">
        <v>118</v>
      </c>
      <c r="D14" s="149" t="s">
        <v>268</v>
      </c>
      <c r="E14" s="149" t="s">
        <v>263</v>
      </c>
      <c r="F14" s="149">
        <v>886488239</v>
      </c>
      <c r="G14" s="150">
        <v>8500</v>
      </c>
      <c r="H14" s="152">
        <v>400000</v>
      </c>
      <c r="I14" s="151"/>
      <c r="J14" s="154" t="s">
        <v>297</v>
      </c>
      <c r="K14" s="158" t="s">
        <v>298</v>
      </c>
    </row>
    <row r="15" spans="1:11" ht="42.75" x14ac:dyDescent="0.45">
      <c r="A15" s="147">
        <v>14</v>
      </c>
      <c r="B15" s="148" t="s">
        <v>240</v>
      </c>
      <c r="C15" s="147" t="s">
        <v>127</v>
      </c>
      <c r="D15" s="149" t="s">
        <v>269</v>
      </c>
      <c r="E15" s="149" t="s">
        <v>263</v>
      </c>
      <c r="F15" s="149">
        <v>881338703</v>
      </c>
      <c r="G15" s="150">
        <v>17600</v>
      </c>
      <c r="H15" s="152">
        <v>500000</v>
      </c>
      <c r="I15" s="151" t="s">
        <v>270</v>
      </c>
      <c r="J15" s="154" t="s">
        <v>299</v>
      </c>
      <c r="K15" s="158" t="s">
        <v>300</v>
      </c>
    </row>
    <row r="16" spans="1:11" ht="28.5" x14ac:dyDescent="0.45">
      <c r="A16" s="147">
        <v>15</v>
      </c>
      <c r="B16" s="148" t="s">
        <v>251</v>
      </c>
      <c r="C16" s="147" t="s">
        <v>128</v>
      </c>
      <c r="D16" s="109"/>
      <c r="E16" s="109"/>
      <c r="F16" s="109"/>
      <c r="G16" s="109"/>
      <c r="H16" s="109"/>
      <c r="I16" s="109"/>
      <c r="J16" s="154" t="s">
        <v>301</v>
      </c>
      <c r="K16" s="159" t="s">
        <v>302</v>
      </c>
    </row>
  </sheetData>
  <dataValidations count="1">
    <dataValidation type="list" allowBlank="1" showErrorMessage="1" sqref="E2:E10 E12:E15" xr:uid="{7F7FA514-8EF0-45AA-9E8D-0E7D9441AA99}">
      <formula1>$D$26:$D$28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C753-FBFB-4B25-85EC-8BB3500EA052}">
  <sheetPr>
    <tabColor theme="3"/>
  </sheetPr>
  <dimension ref="A1:AR40"/>
  <sheetViews>
    <sheetView topLeftCell="A12" zoomScale="70" zoomScaleNormal="70" workbookViewId="0">
      <pane xSplit="2" topLeftCell="C1" activePane="topRight" state="frozen"/>
      <selection pane="topRight" activeCell="O17" sqref="O17"/>
    </sheetView>
  </sheetViews>
  <sheetFormatPr defaultRowHeight="14.25" x14ac:dyDescent="0.45"/>
  <cols>
    <col min="1" max="1" width="9.33203125" customWidth="1"/>
    <col min="2" max="2" width="53.86328125" customWidth="1"/>
    <col min="3" max="3" width="15.6640625" customWidth="1"/>
    <col min="4" max="5" width="9.19921875" customWidth="1"/>
    <col min="43" max="43" width="8.86328125" style="115"/>
    <col min="44" max="44" width="6.19921875" customWidth="1"/>
    <col min="45" max="45" width="17.6640625" customWidth="1"/>
  </cols>
  <sheetData>
    <row r="1" spans="1:44" ht="43.15" thickBot="1" x14ac:dyDescent="0.5">
      <c r="B1" s="180" t="s">
        <v>303</v>
      </c>
      <c r="C1" s="197"/>
      <c r="H1" s="42" t="s">
        <v>27</v>
      </c>
      <c r="Q1" s="42" t="s">
        <v>106</v>
      </c>
      <c r="W1" s="42" t="s">
        <v>107</v>
      </c>
      <c r="AC1" s="77" t="s">
        <v>108</v>
      </c>
      <c r="AL1" s="42" t="s">
        <v>109</v>
      </c>
      <c r="AO1" s="42" t="s">
        <v>110</v>
      </c>
    </row>
    <row r="2" spans="1:44" ht="28.9" thickBot="1" x14ac:dyDescent="0.5">
      <c r="B2" s="181" t="str">
        <f ca="1" xml:space="preserve"> "M" &amp; TEXT(DATEDIF(DATE(2024,11,1), TODAY(), "m") + 1, "00")</f>
        <v>M09</v>
      </c>
      <c r="C2" s="117"/>
      <c r="K2" s="172" t="s">
        <v>105</v>
      </c>
      <c r="Q2" s="173" t="s">
        <v>28</v>
      </c>
      <c r="AC2" s="76"/>
      <c r="AO2" s="173" t="s">
        <v>29</v>
      </c>
    </row>
    <row r="3" spans="1:44" ht="14.65" thickBot="1" x14ac:dyDescent="0.5">
      <c r="F3" s="174">
        <v>45597</v>
      </c>
      <c r="G3" s="175">
        <v>45627</v>
      </c>
      <c r="H3" s="175">
        <v>45658</v>
      </c>
      <c r="I3" s="175">
        <v>45689</v>
      </c>
      <c r="J3" s="175">
        <v>45717</v>
      </c>
      <c r="K3" s="175">
        <v>45748</v>
      </c>
      <c r="L3" s="175">
        <v>45778</v>
      </c>
      <c r="M3" s="175">
        <v>45809</v>
      </c>
      <c r="N3" s="175">
        <v>45839</v>
      </c>
      <c r="O3" s="175">
        <v>45870</v>
      </c>
      <c r="P3" s="175">
        <v>45901</v>
      </c>
      <c r="Q3" s="175">
        <v>45931</v>
      </c>
      <c r="R3" s="175">
        <v>45962</v>
      </c>
      <c r="S3" s="175">
        <v>45992</v>
      </c>
      <c r="T3" s="175">
        <v>46023</v>
      </c>
      <c r="U3" s="175">
        <v>46054</v>
      </c>
      <c r="V3" s="175">
        <v>46082</v>
      </c>
      <c r="W3" s="175">
        <v>46113</v>
      </c>
      <c r="X3" s="175">
        <v>46143</v>
      </c>
      <c r="Y3" s="175">
        <v>46174</v>
      </c>
      <c r="Z3" s="175">
        <v>46204</v>
      </c>
      <c r="AA3" s="175">
        <v>46235</v>
      </c>
      <c r="AB3" s="175">
        <v>46266</v>
      </c>
      <c r="AC3" s="176">
        <v>46296</v>
      </c>
      <c r="AD3" s="175">
        <v>46327</v>
      </c>
      <c r="AE3" s="175">
        <v>46357</v>
      </c>
      <c r="AF3" s="175">
        <v>46388</v>
      </c>
      <c r="AG3" s="175">
        <v>46419</v>
      </c>
      <c r="AH3" s="175">
        <v>46447</v>
      </c>
      <c r="AI3" s="175">
        <v>46478</v>
      </c>
      <c r="AJ3" s="175">
        <v>46508</v>
      </c>
      <c r="AK3" s="175">
        <v>46539</v>
      </c>
      <c r="AL3" s="175">
        <v>46569</v>
      </c>
      <c r="AM3" s="175">
        <v>46600</v>
      </c>
      <c r="AN3" s="175">
        <v>46631</v>
      </c>
      <c r="AO3" s="177">
        <v>46661</v>
      </c>
      <c r="AQ3" s="170" t="s">
        <v>117</v>
      </c>
      <c r="AR3" s="118"/>
    </row>
    <row r="4" spans="1:44" x14ac:dyDescent="0.45">
      <c r="A4" s="235" t="s">
        <v>30</v>
      </c>
      <c r="B4" s="237" t="s">
        <v>31</v>
      </c>
      <c r="C4" s="237" t="s">
        <v>337</v>
      </c>
      <c r="D4" s="239" t="s">
        <v>32</v>
      </c>
      <c r="E4" s="240" t="s">
        <v>33</v>
      </c>
      <c r="F4" s="242" t="s">
        <v>34</v>
      </c>
      <c r="G4" s="233"/>
      <c r="H4" s="233"/>
      <c r="I4" s="233"/>
      <c r="J4" s="233"/>
      <c r="K4" s="233"/>
      <c r="L4" s="233"/>
      <c r="M4" s="233"/>
      <c r="N4" s="233"/>
      <c r="O4" s="233"/>
      <c r="P4" s="233"/>
      <c r="Q4" s="234"/>
      <c r="R4" s="242" t="s">
        <v>35</v>
      </c>
      <c r="S4" s="233"/>
      <c r="T4" s="233"/>
      <c r="U4" s="233"/>
      <c r="V4" s="233"/>
      <c r="W4" s="233"/>
      <c r="X4" s="233"/>
      <c r="Y4" s="233"/>
      <c r="Z4" s="233"/>
      <c r="AA4" s="233"/>
      <c r="AB4" s="233"/>
      <c r="AC4" s="234"/>
      <c r="AD4" s="232" t="s">
        <v>36</v>
      </c>
      <c r="AE4" s="233"/>
      <c r="AF4" s="233"/>
      <c r="AG4" s="233"/>
      <c r="AH4" s="233"/>
      <c r="AI4" s="233"/>
      <c r="AJ4" s="233"/>
      <c r="AK4" s="233"/>
      <c r="AL4" s="233"/>
      <c r="AM4" s="233"/>
      <c r="AN4" s="233"/>
      <c r="AO4" s="234"/>
      <c r="AQ4" s="171"/>
      <c r="AR4" s="118"/>
    </row>
    <row r="5" spans="1:44" x14ac:dyDescent="0.45">
      <c r="A5" s="236"/>
      <c r="B5" s="238"/>
      <c r="C5" s="243"/>
      <c r="D5" s="238"/>
      <c r="E5" s="241"/>
      <c r="F5" s="43">
        <v>1</v>
      </c>
      <c r="G5" s="44">
        <v>2</v>
      </c>
      <c r="H5" s="44">
        <v>3</v>
      </c>
      <c r="I5" s="44">
        <v>4</v>
      </c>
      <c r="J5" s="44">
        <v>5</v>
      </c>
      <c r="K5" s="44">
        <v>6</v>
      </c>
      <c r="L5" s="44">
        <v>7</v>
      </c>
      <c r="M5" s="44">
        <v>8</v>
      </c>
      <c r="N5" s="44">
        <v>9</v>
      </c>
      <c r="O5" s="44">
        <v>10</v>
      </c>
      <c r="P5" s="44">
        <v>11</v>
      </c>
      <c r="Q5" s="45">
        <v>12</v>
      </c>
      <c r="R5" s="43">
        <v>13</v>
      </c>
      <c r="S5" s="44">
        <v>14</v>
      </c>
      <c r="T5" s="44">
        <v>15</v>
      </c>
      <c r="U5" s="44">
        <v>16</v>
      </c>
      <c r="V5" s="44">
        <v>17</v>
      </c>
      <c r="W5" s="44">
        <v>18</v>
      </c>
      <c r="X5" s="44">
        <v>19</v>
      </c>
      <c r="Y5" s="44">
        <v>20</v>
      </c>
      <c r="Z5" s="44">
        <v>21</v>
      </c>
      <c r="AA5" s="44">
        <v>22</v>
      </c>
      <c r="AB5" s="44">
        <v>23</v>
      </c>
      <c r="AC5" s="45">
        <v>24</v>
      </c>
      <c r="AD5" s="46">
        <v>25</v>
      </c>
      <c r="AE5" s="44">
        <v>26</v>
      </c>
      <c r="AF5" s="44">
        <v>27</v>
      </c>
      <c r="AG5" s="44">
        <v>28</v>
      </c>
      <c r="AH5" s="44">
        <v>29</v>
      </c>
      <c r="AI5" s="44">
        <v>30</v>
      </c>
      <c r="AJ5" s="44">
        <v>31</v>
      </c>
      <c r="AK5" s="44">
        <v>32</v>
      </c>
      <c r="AL5" s="44">
        <v>33</v>
      </c>
      <c r="AM5" s="44">
        <v>34</v>
      </c>
      <c r="AN5" s="44">
        <v>35</v>
      </c>
      <c r="AO5" s="45">
        <v>36</v>
      </c>
      <c r="AQ5" s="178"/>
    </row>
    <row r="6" spans="1:44" x14ac:dyDescent="0.45">
      <c r="A6" s="47" t="s">
        <v>37</v>
      </c>
      <c r="B6" s="48" t="s">
        <v>38</v>
      </c>
      <c r="C6" s="49" t="s">
        <v>115</v>
      </c>
      <c r="D6" s="49">
        <f>MIN(D7:D11)</f>
        <v>1</v>
      </c>
      <c r="E6" s="50">
        <f>MAX(E7:E11)</f>
        <v>36</v>
      </c>
      <c r="F6" s="51"/>
      <c r="G6" s="52"/>
      <c r="H6" s="52"/>
      <c r="I6" s="52"/>
      <c r="J6" s="52"/>
      <c r="K6" s="52"/>
      <c r="L6" s="52"/>
      <c r="M6" s="52"/>
      <c r="N6" s="52"/>
      <c r="O6" s="52"/>
      <c r="P6" s="52"/>
      <c r="Q6" s="53"/>
      <c r="R6" s="51"/>
      <c r="S6" s="52"/>
      <c r="T6" s="52"/>
      <c r="U6" s="52"/>
      <c r="V6" s="52"/>
      <c r="W6" s="52"/>
      <c r="X6" s="52"/>
      <c r="Y6" s="52"/>
      <c r="Z6" s="52"/>
      <c r="AA6" s="52"/>
      <c r="AB6" s="52"/>
      <c r="AC6" s="53"/>
      <c r="AD6" s="54"/>
      <c r="AE6" s="52"/>
      <c r="AF6" s="52"/>
      <c r="AG6" s="52"/>
      <c r="AH6" s="52"/>
      <c r="AI6" s="52"/>
      <c r="AJ6" s="52"/>
      <c r="AK6" s="52"/>
      <c r="AL6" s="52"/>
      <c r="AM6" s="52"/>
      <c r="AN6" s="52"/>
      <c r="AO6" s="53"/>
      <c r="AQ6" s="178">
        <v>7</v>
      </c>
    </row>
    <row r="7" spans="1:44" x14ac:dyDescent="0.45">
      <c r="A7" s="67" t="s">
        <v>39</v>
      </c>
      <c r="B7" s="68" t="s">
        <v>40</v>
      </c>
      <c r="C7" s="199" t="s">
        <v>115</v>
      </c>
      <c r="D7" s="69">
        <v>1</v>
      </c>
      <c r="E7" s="69">
        <v>36</v>
      </c>
      <c r="F7" s="51"/>
      <c r="G7" s="52"/>
      <c r="H7" s="52"/>
      <c r="I7" s="52"/>
      <c r="J7" s="52"/>
      <c r="K7" s="55"/>
      <c r="L7" s="52"/>
      <c r="M7" s="52"/>
      <c r="N7" s="52"/>
      <c r="O7" s="52"/>
      <c r="P7" s="52"/>
      <c r="Q7" s="53"/>
      <c r="R7" s="51"/>
      <c r="S7" s="52"/>
      <c r="T7" s="52"/>
      <c r="U7" s="52"/>
      <c r="V7" s="52"/>
      <c r="W7" s="52"/>
      <c r="X7" s="52"/>
      <c r="Y7" s="52"/>
      <c r="Z7" s="52"/>
      <c r="AA7" s="52"/>
      <c r="AB7" s="52"/>
      <c r="AC7" s="53"/>
      <c r="AD7" s="54"/>
      <c r="AE7" s="52"/>
      <c r="AF7" s="52"/>
      <c r="AG7" s="52"/>
      <c r="AH7" s="52"/>
      <c r="AI7" s="52"/>
      <c r="AJ7" s="52"/>
      <c r="AK7" s="52"/>
      <c r="AL7" s="52"/>
      <c r="AM7" s="52"/>
      <c r="AN7" s="52"/>
      <c r="AO7" s="53"/>
      <c r="AQ7" s="178">
        <v>1</v>
      </c>
    </row>
    <row r="8" spans="1:44" ht="26.25" x14ac:dyDescent="0.45">
      <c r="A8" s="194" t="s">
        <v>41</v>
      </c>
      <c r="B8" s="68" t="s">
        <v>42</v>
      </c>
      <c r="C8" s="199" t="s">
        <v>116</v>
      </c>
      <c r="D8" s="69">
        <v>1</v>
      </c>
      <c r="E8" s="69">
        <v>36</v>
      </c>
      <c r="F8" s="51"/>
      <c r="G8" s="52"/>
      <c r="H8" s="52"/>
      <c r="I8" s="52"/>
      <c r="J8" s="52"/>
      <c r="K8" s="52"/>
      <c r="L8" s="52"/>
      <c r="M8" s="52"/>
      <c r="N8" s="52"/>
      <c r="O8" s="52"/>
      <c r="P8" s="52"/>
      <c r="Q8" s="53"/>
      <c r="R8" s="51"/>
      <c r="S8" s="52"/>
      <c r="T8" s="52"/>
      <c r="U8" s="52"/>
      <c r="V8" s="52"/>
      <c r="W8" s="52"/>
      <c r="X8" s="52"/>
      <c r="Y8" s="52"/>
      <c r="Z8" s="52"/>
      <c r="AA8" s="52"/>
      <c r="AB8" s="52"/>
      <c r="AC8" s="53"/>
      <c r="AD8" s="54"/>
      <c r="AE8" s="52"/>
      <c r="AF8" s="52"/>
      <c r="AG8" s="52"/>
      <c r="AH8" s="52"/>
      <c r="AI8" s="52"/>
      <c r="AJ8" s="52"/>
      <c r="AK8" s="52"/>
      <c r="AL8" s="52"/>
      <c r="AM8" s="52"/>
      <c r="AN8" s="52"/>
      <c r="AO8" s="53"/>
      <c r="AQ8" s="178"/>
    </row>
    <row r="9" spans="1:44" x14ac:dyDescent="0.45">
      <c r="A9" s="194" t="s">
        <v>43</v>
      </c>
      <c r="B9" s="68" t="s">
        <v>44</v>
      </c>
      <c r="C9" s="200" t="s">
        <v>115</v>
      </c>
      <c r="D9" s="70">
        <v>1</v>
      </c>
      <c r="E9" s="70">
        <v>36</v>
      </c>
      <c r="F9" s="51"/>
      <c r="G9" s="52"/>
      <c r="H9" s="52"/>
      <c r="I9" s="52"/>
      <c r="J9" s="52"/>
      <c r="K9" s="52"/>
      <c r="L9" s="52"/>
      <c r="M9" s="52"/>
      <c r="N9" s="59"/>
      <c r="O9" s="52"/>
      <c r="P9" s="52"/>
      <c r="Q9" s="53"/>
      <c r="R9" s="51"/>
      <c r="S9" s="52"/>
      <c r="T9" s="52"/>
      <c r="U9" s="52"/>
      <c r="V9" s="52"/>
      <c r="W9" s="52"/>
      <c r="X9" s="52"/>
      <c r="Y9" s="52"/>
      <c r="Z9" s="52"/>
      <c r="AA9" s="52"/>
      <c r="AB9" s="52"/>
      <c r="AC9" s="53"/>
      <c r="AD9" s="54"/>
      <c r="AE9" s="52"/>
      <c r="AF9" s="52"/>
      <c r="AG9" s="52"/>
      <c r="AH9" s="52"/>
      <c r="AI9" s="52"/>
      <c r="AJ9" s="52"/>
      <c r="AK9" s="52"/>
      <c r="AL9" s="52"/>
      <c r="AM9" s="52"/>
      <c r="AN9" s="52"/>
      <c r="AO9" s="53"/>
      <c r="AQ9" s="178"/>
    </row>
    <row r="10" spans="1:44" x14ac:dyDescent="0.45">
      <c r="A10" s="204" t="s">
        <v>45</v>
      </c>
      <c r="B10" s="71" t="s">
        <v>46</v>
      </c>
      <c r="C10" s="201" t="s">
        <v>117</v>
      </c>
      <c r="D10" s="72">
        <v>1</v>
      </c>
      <c r="E10" s="72">
        <v>36</v>
      </c>
      <c r="F10" s="51"/>
      <c r="G10" s="52"/>
      <c r="H10" s="52"/>
      <c r="I10" s="52"/>
      <c r="J10" s="52"/>
      <c r="K10" s="52"/>
      <c r="L10" s="52"/>
      <c r="M10" s="52"/>
      <c r="N10" s="52"/>
      <c r="O10" s="52"/>
      <c r="P10" s="52"/>
      <c r="Q10" s="53"/>
      <c r="R10" s="51"/>
      <c r="S10" s="52"/>
      <c r="T10" s="52"/>
      <c r="U10" s="52"/>
      <c r="V10" s="52"/>
      <c r="W10" s="52"/>
      <c r="X10" s="52"/>
      <c r="Y10" s="52"/>
      <c r="Z10" s="52"/>
      <c r="AA10" s="52"/>
      <c r="AB10" s="52"/>
      <c r="AC10" s="53"/>
      <c r="AD10" s="54"/>
      <c r="AE10" s="52"/>
      <c r="AF10" s="52"/>
      <c r="AG10" s="52"/>
      <c r="AH10" s="52"/>
      <c r="AI10" s="52"/>
      <c r="AJ10" s="52"/>
      <c r="AK10" s="52"/>
      <c r="AL10" s="52"/>
      <c r="AM10" s="52"/>
      <c r="AN10" s="52"/>
      <c r="AO10" s="53"/>
      <c r="AQ10" s="178">
        <v>3</v>
      </c>
    </row>
    <row r="11" spans="1:44" ht="26.25" x14ac:dyDescent="0.45">
      <c r="A11" s="204" t="s">
        <v>47</v>
      </c>
      <c r="B11" s="71" t="s">
        <v>48</v>
      </c>
      <c r="C11" s="201" t="s">
        <v>117</v>
      </c>
      <c r="D11" s="72">
        <v>1</v>
      </c>
      <c r="E11" s="72">
        <v>36</v>
      </c>
      <c r="F11" s="51"/>
      <c r="G11" s="52"/>
      <c r="H11" s="52"/>
      <c r="I11" s="52"/>
      <c r="J11" s="52"/>
      <c r="K11" s="52"/>
      <c r="L11" s="52"/>
      <c r="M11" s="52"/>
      <c r="N11" s="52"/>
      <c r="O11" s="52"/>
      <c r="P11" s="52"/>
      <c r="Q11" s="53"/>
      <c r="R11" s="51"/>
      <c r="S11" s="52"/>
      <c r="T11" s="52"/>
      <c r="U11" s="52"/>
      <c r="V11" s="52"/>
      <c r="W11" s="52"/>
      <c r="X11" s="52"/>
      <c r="Y11" s="52"/>
      <c r="Z11" s="52"/>
      <c r="AA11" s="52"/>
      <c r="AB11" s="52"/>
      <c r="AC11" s="53"/>
      <c r="AD11" s="54"/>
      <c r="AE11" s="52"/>
      <c r="AF11" s="52"/>
      <c r="AG11" s="52"/>
      <c r="AH11" s="52"/>
      <c r="AI11" s="52"/>
      <c r="AJ11" s="52"/>
      <c r="AK11" s="52"/>
      <c r="AL11" s="52"/>
      <c r="AM11" s="52"/>
      <c r="AN11" s="52"/>
      <c r="AO11" s="53"/>
      <c r="AQ11" s="178">
        <v>3</v>
      </c>
    </row>
    <row r="12" spans="1:44" x14ac:dyDescent="0.45">
      <c r="A12" s="60" t="s">
        <v>49</v>
      </c>
      <c r="B12" s="61" t="s">
        <v>50</v>
      </c>
      <c r="C12" s="198" t="s">
        <v>118</v>
      </c>
      <c r="D12" s="49">
        <f>MIN(D13:D17)</f>
        <v>1</v>
      </c>
      <c r="E12" s="50">
        <f>MAX(E13:E17)</f>
        <v>36</v>
      </c>
      <c r="F12" s="51"/>
      <c r="G12" s="52"/>
      <c r="H12" s="52"/>
      <c r="I12" s="52"/>
      <c r="J12" s="52"/>
      <c r="K12" s="52"/>
      <c r="L12" s="52"/>
      <c r="M12" s="52"/>
      <c r="N12" s="52"/>
      <c r="O12" s="52"/>
      <c r="P12" s="52"/>
      <c r="Q12" s="53"/>
      <c r="R12" s="51"/>
      <c r="S12" s="52"/>
      <c r="T12" s="52"/>
      <c r="U12" s="52"/>
      <c r="V12" s="52"/>
      <c r="W12" s="52"/>
      <c r="X12" s="52"/>
      <c r="Y12" s="52"/>
      <c r="Z12" s="52"/>
      <c r="AA12" s="52"/>
      <c r="AB12" s="52"/>
      <c r="AC12" s="53"/>
      <c r="AD12" s="54"/>
      <c r="AE12" s="52"/>
      <c r="AF12" s="52"/>
      <c r="AG12" s="52"/>
      <c r="AH12" s="52"/>
      <c r="AI12" s="52"/>
      <c r="AJ12" s="52"/>
      <c r="AK12" s="52"/>
      <c r="AL12" s="52"/>
      <c r="AM12" s="52"/>
      <c r="AN12" s="52"/>
      <c r="AO12" s="53"/>
      <c r="AQ12" s="178">
        <v>21</v>
      </c>
    </row>
    <row r="13" spans="1:44" x14ac:dyDescent="0.45">
      <c r="A13" s="204" t="s">
        <v>51</v>
      </c>
      <c r="B13" s="71" t="s">
        <v>52</v>
      </c>
      <c r="C13" s="202" t="s">
        <v>117</v>
      </c>
      <c r="D13" s="73">
        <v>1</v>
      </c>
      <c r="E13" s="74">
        <v>36</v>
      </c>
      <c r="F13" s="51"/>
      <c r="G13" s="52"/>
      <c r="H13" s="52"/>
      <c r="I13" s="52"/>
      <c r="J13" s="52"/>
      <c r="K13" s="52"/>
      <c r="L13" s="52"/>
      <c r="M13" s="52"/>
      <c r="N13" s="52"/>
      <c r="O13" s="52"/>
      <c r="P13" s="52"/>
      <c r="Q13" s="53"/>
      <c r="R13" s="51"/>
      <c r="S13" s="52"/>
      <c r="T13" s="52"/>
      <c r="U13" s="52"/>
      <c r="V13" s="52"/>
      <c r="W13" s="52"/>
      <c r="X13" s="52"/>
      <c r="Y13" s="52"/>
      <c r="Z13" s="52"/>
      <c r="AA13" s="52"/>
      <c r="AB13" s="52"/>
      <c r="AC13" s="53"/>
      <c r="AD13" s="54"/>
      <c r="AE13" s="52"/>
      <c r="AF13" s="52"/>
      <c r="AG13" s="52"/>
      <c r="AH13" s="52"/>
      <c r="AI13" s="52"/>
      <c r="AJ13" s="52"/>
      <c r="AK13" s="52"/>
      <c r="AL13" s="52"/>
      <c r="AM13" s="52"/>
      <c r="AN13" s="52"/>
      <c r="AO13" s="53"/>
      <c r="AQ13" s="178">
        <v>12</v>
      </c>
    </row>
    <row r="14" spans="1:44" x14ac:dyDescent="0.45">
      <c r="A14" s="194" t="s">
        <v>53</v>
      </c>
      <c r="B14" s="68" t="s">
        <v>54</v>
      </c>
      <c r="C14" s="199" t="s">
        <v>118</v>
      </c>
      <c r="D14" s="69">
        <v>1</v>
      </c>
      <c r="E14" s="75">
        <v>36</v>
      </c>
      <c r="F14" s="51"/>
      <c r="G14" s="52"/>
      <c r="H14" s="52"/>
      <c r="I14" s="52"/>
      <c r="J14" s="52"/>
      <c r="K14" s="52"/>
      <c r="L14" s="52"/>
      <c r="M14" s="52"/>
      <c r="N14" s="52"/>
      <c r="O14" s="52"/>
      <c r="P14" s="52"/>
      <c r="Q14" s="53"/>
      <c r="R14" s="51"/>
      <c r="S14" s="52"/>
      <c r="T14" s="52"/>
      <c r="U14" s="52"/>
      <c r="V14" s="52"/>
      <c r="W14" s="52"/>
      <c r="X14" s="52"/>
      <c r="Y14" s="52"/>
      <c r="Z14" s="52"/>
      <c r="AA14" s="52"/>
      <c r="AB14" s="52"/>
      <c r="AC14" s="53"/>
      <c r="AD14" s="54"/>
      <c r="AE14" s="52"/>
      <c r="AF14" s="52"/>
      <c r="AG14" s="52"/>
      <c r="AH14" s="52"/>
      <c r="AI14" s="52"/>
      <c r="AJ14" s="52"/>
      <c r="AK14" s="52"/>
      <c r="AL14" s="52"/>
      <c r="AM14" s="52"/>
      <c r="AN14" s="52"/>
      <c r="AO14" s="53"/>
      <c r="AQ14" s="178"/>
    </row>
    <row r="15" spans="1:44" x14ac:dyDescent="0.45">
      <c r="A15" s="194" t="s">
        <v>55</v>
      </c>
      <c r="B15" s="68" t="s">
        <v>56</v>
      </c>
      <c r="C15" s="199" t="s">
        <v>116</v>
      </c>
      <c r="D15" s="69">
        <v>1</v>
      </c>
      <c r="E15" s="75">
        <v>36</v>
      </c>
      <c r="F15" s="51"/>
      <c r="G15" s="52"/>
      <c r="H15" s="52"/>
      <c r="I15" s="52"/>
      <c r="J15" s="52"/>
      <c r="K15" s="52"/>
      <c r="L15" s="52"/>
      <c r="M15" s="52"/>
      <c r="N15" s="52"/>
      <c r="O15" s="52"/>
      <c r="P15" s="52"/>
      <c r="Q15" s="53"/>
      <c r="R15" s="51"/>
      <c r="S15" s="52"/>
      <c r="T15" s="52"/>
      <c r="U15" s="52"/>
      <c r="V15" s="52"/>
      <c r="W15" s="52"/>
      <c r="X15" s="52"/>
      <c r="Y15" s="52"/>
      <c r="Z15" s="52"/>
      <c r="AA15" s="52"/>
      <c r="AB15" s="52"/>
      <c r="AC15" s="53"/>
      <c r="AD15" s="54"/>
      <c r="AE15" s="52"/>
      <c r="AF15" s="52"/>
      <c r="AG15" s="52"/>
      <c r="AH15" s="52"/>
      <c r="AI15" s="52"/>
      <c r="AJ15" s="52"/>
      <c r="AK15" s="52"/>
      <c r="AL15" s="52"/>
      <c r="AM15" s="52"/>
      <c r="AN15" s="52"/>
      <c r="AO15" s="53"/>
      <c r="AQ15" s="178"/>
    </row>
    <row r="16" spans="1:44" x14ac:dyDescent="0.45">
      <c r="A16" s="67" t="s">
        <v>57</v>
      </c>
      <c r="B16" s="68" t="s">
        <v>58</v>
      </c>
      <c r="C16" s="199" t="s">
        <v>126</v>
      </c>
      <c r="D16" s="69">
        <v>8</v>
      </c>
      <c r="E16" s="75">
        <v>36</v>
      </c>
      <c r="F16" s="51"/>
      <c r="G16" s="52"/>
      <c r="H16" s="52"/>
      <c r="I16" s="52"/>
      <c r="J16" s="52"/>
      <c r="K16" s="52"/>
      <c r="L16" s="52"/>
      <c r="M16" s="52"/>
      <c r="N16" s="52"/>
      <c r="O16" s="52"/>
      <c r="P16" s="52"/>
      <c r="Q16" s="53"/>
      <c r="R16" s="51"/>
      <c r="S16" s="52"/>
      <c r="T16" s="52"/>
      <c r="U16" s="52"/>
      <c r="V16" s="52"/>
      <c r="W16" s="52"/>
      <c r="X16" s="52"/>
      <c r="Y16" s="52"/>
      <c r="Z16" s="52"/>
      <c r="AA16" s="52"/>
      <c r="AB16" s="52"/>
      <c r="AC16" s="53"/>
      <c r="AD16" s="54"/>
      <c r="AE16" s="52"/>
      <c r="AF16" s="52"/>
      <c r="AG16" s="52"/>
      <c r="AH16" s="52"/>
      <c r="AI16" s="52"/>
      <c r="AJ16" s="52"/>
      <c r="AK16" s="52"/>
      <c r="AL16" s="52"/>
      <c r="AM16" s="52"/>
      <c r="AN16" s="52"/>
      <c r="AO16" s="53"/>
      <c r="AQ16" s="178">
        <v>6</v>
      </c>
    </row>
    <row r="17" spans="1:43" x14ac:dyDescent="0.45">
      <c r="A17" s="56" t="s">
        <v>59</v>
      </c>
      <c r="B17" s="57" t="s">
        <v>60</v>
      </c>
      <c r="C17" s="203" t="s">
        <v>119</v>
      </c>
      <c r="D17" s="58">
        <v>12</v>
      </c>
      <c r="E17" s="62">
        <v>36</v>
      </c>
      <c r="F17" s="51"/>
      <c r="G17" s="52"/>
      <c r="H17" s="52"/>
      <c r="I17" s="52"/>
      <c r="J17" s="52"/>
      <c r="K17" s="52"/>
      <c r="L17" s="52"/>
      <c r="M17" s="52"/>
      <c r="N17" s="52"/>
      <c r="O17" s="52"/>
      <c r="P17" s="52"/>
      <c r="Q17" s="53"/>
      <c r="R17" s="51"/>
      <c r="S17" s="52"/>
      <c r="T17" s="52"/>
      <c r="U17" s="52"/>
      <c r="V17" s="52"/>
      <c r="W17" s="52"/>
      <c r="X17" s="52"/>
      <c r="Y17" s="52"/>
      <c r="Z17" s="52"/>
      <c r="AA17" s="52"/>
      <c r="AB17" s="52"/>
      <c r="AC17" s="53"/>
      <c r="AD17" s="54"/>
      <c r="AE17" s="52"/>
      <c r="AF17" s="52"/>
      <c r="AG17" s="52"/>
      <c r="AH17" s="52"/>
      <c r="AI17" s="52"/>
      <c r="AJ17" s="52"/>
      <c r="AK17" s="52"/>
      <c r="AL17" s="52"/>
      <c r="AM17" s="52"/>
      <c r="AN17" s="52"/>
      <c r="AO17" s="53"/>
      <c r="AQ17" s="178">
        <v>3</v>
      </c>
    </row>
    <row r="18" spans="1:43" x14ac:dyDescent="0.45">
      <c r="A18" s="60" t="s">
        <v>61</v>
      </c>
      <c r="B18" s="61" t="s">
        <v>62</v>
      </c>
      <c r="C18" s="198" t="s">
        <v>116</v>
      </c>
      <c r="D18" s="49">
        <f>MIN(D19:D22)</f>
        <v>1</v>
      </c>
      <c r="E18" s="50">
        <f>MAX(E19:E22)</f>
        <v>12</v>
      </c>
      <c r="F18" s="51"/>
      <c r="G18" s="52"/>
      <c r="H18" s="52"/>
      <c r="I18" s="52"/>
      <c r="J18" s="52"/>
      <c r="K18" s="52"/>
      <c r="L18" s="52"/>
      <c r="M18" s="52"/>
      <c r="N18" s="52"/>
      <c r="O18" s="52"/>
      <c r="P18" s="52"/>
      <c r="Q18" s="53"/>
      <c r="R18" s="51"/>
      <c r="S18" s="52"/>
      <c r="T18" s="52"/>
      <c r="U18" s="52"/>
      <c r="V18" s="52"/>
      <c r="W18" s="52"/>
      <c r="X18" s="52"/>
      <c r="Y18" s="52"/>
      <c r="Z18" s="52"/>
      <c r="AA18" s="52"/>
      <c r="AB18" s="52"/>
      <c r="AC18" s="53"/>
      <c r="AD18" s="54"/>
      <c r="AE18" s="52"/>
      <c r="AF18" s="52"/>
      <c r="AG18" s="52"/>
      <c r="AH18" s="52"/>
      <c r="AI18" s="52"/>
      <c r="AJ18" s="52"/>
      <c r="AK18" s="52"/>
      <c r="AL18" s="52"/>
      <c r="AM18" s="52"/>
      <c r="AN18" s="52"/>
      <c r="AO18" s="53"/>
      <c r="AQ18" s="178">
        <v>10</v>
      </c>
    </row>
    <row r="19" spans="1:43" x14ac:dyDescent="0.45">
      <c r="A19" s="56" t="s">
        <v>63</v>
      </c>
      <c r="B19" s="57" t="s">
        <v>64</v>
      </c>
      <c r="C19" s="203" t="s">
        <v>115</v>
      </c>
      <c r="D19" s="58">
        <v>1</v>
      </c>
      <c r="E19" s="62">
        <v>12</v>
      </c>
      <c r="F19" s="51"/>
      <c r="G19" s="52"/>
      <c r="H19" s="52"/>
      <c r="I19" s="52"/>
      <c r="J19" s="52"/>
      <c r="K19" s="52"/>
      <c r="L19" s="52"/>
      <c r="M19" s="52"/>
      <c r="N19" s="52"/>
      <c r="O19" s="52"/>
      <c r="P19" s="52"/>
      <c r="Q19" s="53"/>
      <c r="R19" s="51"/>
      <c r="S19" s="52"/>
      <c r="T19" s="52"/>
      <c r="U19" s="52"/>
      <c r="V19" s="52"/>
      <c r="W19" s="52"/>
      <c r="X19" s="52"/>
      <c r="Y19" s="52"/>
      <c r="Z19" s="52"/>
      <c r="AA19" s="52"/>
      <c r="AB19" s="52"/>
      <c r="AC19" s="53"/>
      <c r="AD19" s="54"/>
      <c r="AE19" s="52"/>
      <c r="AF19" s="52"/>
      <c r="AG19" s="52"/>
      <c r="AH19" s="52"/>
      <c r="AI19" s="52"/>
      <c r="AJ19" s="52"/>
      <c r="AK19" s="52"/>
      <c r="AL19" s="52"/>
      <c r="AM19" s="52"/>
      <c r="AN19" s="52"/>
      <c r="AO19" s="53"/>
      <c r="AQ19" s="178">
        <v>1</v>
      </c>
    </row>
    <row r="20" spans="1:43" x14ac:dyDescent="0.45">
      <c r="A20" s="56" t="s">
        <v>65</v>
      </c>
      <c r="B20" s="57" t="s">
        <v>66</v>
      </c>
      <c r="C20" s="203" t="s">
        <v>126</v>
      </c>
      <c r="D20" s="58">
        <v>1</v>
      </c>
      <c r="E20" s="62">
        <v>12</v>
      </c>
      <c r="F20" s="51"/>
      <c r="G20" s="52"/>
      <c r="H20" s="52"/>
      <c r="I20" s="52"/>
      <c r="J20" s="52"/>
      <c r="K20" s="52"/>
      <c r="L20" s="52"/>
      <c r="M20" s="52"/>
      <c r="N20" s="52"/>
      <c r="O20" s="52"/>
      <c r="P20" s="52"/>
      <c r="Q20" s="53"/>
      <c r="R20" s="51"/>
      <c r="S20" s="52"/>
      <c r="T20" s="52"/>
      <c r="U20" s="52"/>
      <c r="V20" s="52"/>
      <c r="W20" s="52"/>
      <c r="X20" s="52"/>
      <c r="Y20" s="52"/>
      <c r="Z20" s="52"/>
      <c r="AA20" s="52"/>
      <c r="AB20" s="52"/>
      <c r="AC20" s="53"/>
      <c r="AD20" s="54"/>
      <c r="AE20" s="52"/>
      <c r="AF20" s="52"/>
      <c r="AG20" s="52"/>
      <c r="AH20" s="52"/>
      <c r="AI20" s="52"/>
      <c r="AJ20" s="52"/>
      <c r="AK20" s="52"/>
      <c r="AL20" s="52"/>
      <c r="AM20" s="52"/>
      <c r="AN20" s="52"/>
      <c r="AO20" s="53"/>
      <c r="AQ20" s="178">
        <v>5</v>
      </c>
    </row>
    <row r="21" spans="1:43" x14ac:dyDescent="0.45">
      <c r="A21" s="56" t="s">
        <v>67</v>
      </c>
      <c r="B21" s="57" t="s">
        <v>68</v>
      </c>
      <c r="C21" s="203" t="s">
        <v>116</v>
      </c>
      <c r="D21" s="58">
        <v>1</v>
      </c>
      <c r="E21" s="62">
        <v>12</v>
      </c>
      <c r="F21" s="51"/>
      <c r="G21" s="52"/>
      <c r="H21" s="52"/>
      <c r="I21" s="52"/>
      <c r="J21" s="52"/>
      <c r="K21" s="52"/>
      <c r="L21" s="52"/>
      <c r="M21" s="52"/>
      <c r="N21" s="52"/>
      <c r="O21" s="52"/>
      <c r="P21" s="52"/>
      <c r="Q21" s="53"/>
      <c r="R21" s="51"/>
      <c r="S21" s="52"/>
      <c r="T21" s="52"/>
      <c r="U21" s="52"/>
      <c r="V21" s="52"/>
      <c r="W21" s="52"/>
      <c r="X21" s="52"/>
      <c r="Y21" s="52"/>
      <c r="Z21" s="52"/>
      <c r="AA21" s="52"/>
      <c r="AB21" s="52"/>
      <c r="AC21" s="53"/>
      <c r="AD21" s="54"/>
      <c r="AE21" s="52"/>
      <c r="AF21" s="52"/>
      <c r="AG21" s="52"/>
      <c r="AH21" s="52"/>
      <c r="AI21" s="52"/>
      <c r="AJ21" s="52"/>
      <c r="AK21" s="52"/>
      <c r="AL21" s="52"/>
      <c r="AM21" s="52"/>
      <c r="AN21" s="52"/>
      <c r="AO21" s="53"/>
      <c r="AQ21" s="178">
        <v>2</v>
      </c>
    </row>
    <row r="22" spans="1:43" x14ac:dyDescent="0.45">
      <c r="A22" s="56" t="s">
        <v>69</v>
      </c>
      <c r="B22" s="57" t="s">
        <v>70</v>
      </c>
      <c r="C22" s="203" t="s">
        <v>120</v>
      </c>
      <c r="D22" s="58">
        <v>1</v>
      </c>
      <c r="E22" s="62">
        <v>12</v>
      </c>
      <c r="F22" s="51"/>
      <c r="G22" s="52"/>
      <c r="H22" s="52"/>
      <c r="I22" s="52"/>
      <c r="J22" s="52"/>
      <c r="K22" s="52"/>
      <c r="L22" s="52"/>
      <c r="M22" s="52"/>
      <c r="N22" s="52"/>
      <c r="O22" s="52"/>
      <c r="P22" s="52"/>
      <c r="Q22" s="53"/>
      <c r="R22" s="51"/>
      <c r="S22" s="52"/>
      <c r="T22" s="52"/>
      <c r="U22" s="52"/>
      <c r="V22" s="52"/>
      <c r="W22" s="52"/>
      <c r="X22" s="52"/>
      <c r="Y22" s="52"/>
      <c r="Z22" s="52"/>
      <c r="AA22" s="52"/>
      <c r="AB22" s="52"/>
      <c r="AC22" s="53"/>
      <c r="AD22" s="54"/>
      <c r="AE22" s="52"/>
      <c r="AF22" s="52"/>
      <c r="AG22" s="52"/>
      <c r="AH22" s="52"/>
      <c r="AI22" s="52"/>
      <c r="AJ22" s="52"/>
      <c r="AK22" s="52"/>
      <c r="AL22" s="52"/>
      <c r="AM22" s="52"/>
      <c r="AN22" s="52"/>
      <c r="AO22" s="53"/>
      <c r="AQ22" s="178">
        <v>2</v>
      </c>
    </row>
    <row r="23" spans="1:43" ht="26.25" x14ac:dyDescent="0.45">
      <c r="A23" s="47" t="s">
        <v>71</v>
      </c>
      <c r="B23" s="61" t="s">
        <v>72</v>
      </c>
      <c r="C23" s="198" t="s">
        <v>121</v>
      </c>
      <c r="D23" s="49">
        <f>MIN(D24:D28)</f>
        <v>8</v>
      </c>
      <c r="E23" s="50">
        <f>MAX(E24:E28)</f>
        <v>33</v>
      </c>
      <c r="F23" s="51"/>
      <c r="G23" s="52"/>
      <c r="H23" s="52"/>
      <c r="I23" s="52"/>
      <c r="J23" s="52"/>
      <c r="K23" s="52"/>
      <c r="L23" s="52"/>
      <c r="M23" s="52"/>
      <c r="N23" s="52"/>
      <c r="O23" s="52"/>
      <c r="P23" s="52"/>
      <c r="Q23" s="53"/>
      <c r="R23" s="51"/>
      <c r="S23" s="52"/>
      <c r="T23" s="52"/>
      <c r="U23" s="52"/>
      <c r="V23" s="52"/>
      <c r="W23" s="52"/>
      <c r="X23" s="52"/>
      <c r="Y23" s="52"/>
      <c r="Z23" s="52"/>
      <c r="AA23" s="52"/>
      <c r="AB23" s="52"/>
      <c r="AC23" s="53"/>
      <c r="AD23" s="54"/>
      <c r="AE23" s="52"/>
      <c r="AF23" s="52"/>
      <c r="AG23" s="52"/>
      <c r="AH23" s="52"/>
      <c r="AI23" s="52"/>
      <c r="AJ23" s="52"/>
      <c r="AK23" s="52"/>
      <c r="AL23" s="52"/>
      <c r="AM23" s="52"/>
      <c r="AN23" s="52"/>
      <c r="AO23" s="53"/>
      <c r="AQ23" s="178">
        <v>0</v>
      </c>
    </row>
    <row r="24" spans="1:43" x14ac:dyDescent="0.45">
      <c r="A24" s="195" t="s">
        <v>73</v>
      </c>
      <c r="B24" s="57" t="s">
        <v>74</v>
      </c>
      <c r="C24" s="203" t="s">
        <v>122</v>
      </c>
      <c r="D24" s="58">
        <v>8</v>
      </c>
      <c r="E24" s="62">
        <v>33</v>
      </c>
      <c r="F24" s="51"/>
      <c r="G24" s="52"/>
      <c r="H24" s="52"/>
      <c r="I24" s="52"/>
      <c r="J24" s="52"/>
      <c r="K24" s="52"/>
      <c r="L24" s="52"/>
      <c r="M24" s="52"/>
      <c r="N24" s="52"/>
      <c r="O24" s="52"/>
      <c r="P24" s="52"/>
      <c r="Q24" s="53"/>
      <c r="R24" s="51"/>
      <c r="S24" s="52"/>
      <c r="T24" s="52"/>
      <c r="U24" s="52"/>
      <c r="V24" s="52"/>
      <c r="W24" s="52"/>
      <c r="X24" s="52"/>
      <c r="Y24" s="52"/>
      <c r="Z24" s="52"/>
      <c r="AA24" s="52"/>
      <c r="AB24" s="52"/>
      <c r="AC24" s="53"/>
      <c r="AD24" s="54"/>
      <c r="AE24" s="52"/>
      <c r="AF24" s="52"/>
      <c r="AG24" s="52"/>
      <c r="AH24" s="52"/>
      <c r="AI24" s="52"/>
      <c r="AJ24" s="52"/>
      <c r="AK24" s="52"/>
      <c r="AL24" s="52"/>
      <c r="AM24" s="52"/>
      <c r="AN24" s="52"/>
      <c r="AO24" s="53"/>
      <c r="AQ24" s="178"/>
    </row>
    <row r="25" spans="1:43" x14ac:dyDescent="0.45">
      <c r="A25" s="195" t="s">
        <v>75</v>
      </c>
      <c r="B25" s="57" t="s">
        <v>76</v>
      </c>
      <c r="C25" s="203" t="s">
        <v>123</v>
      </c>
      <c r="D25" s="58">
        <v>8</v>
      </c>
      <c r="E25" s="62">
        <v>33</v>
      </c>
      <c r="F25" s="51"/>
      <c r="G25" s="52"/>
      <c r="H25" s="52"/>
      <c r="I25" s="52"/>
      <c r="J25" s="52"/>
      <c r="K25" s="52"/>
      <c r="L25" s="52"/>
      <c r="M25" s="52"/>
      <c r="N25" s="52"/>
      <c r="O25" s="52"/>
      <c r="P25" s="52"/>
      <c r="Q25" s="53"/>
      <c r="R25" s="51"/>
      <c r="S25" s="52"/>
      <c r="T25" s="52"/>
      <c r="U25" s="52"/>
      <c r="V25" s="52"/>
      <c r="W25" s="52"/>
      <c r="X25" s="52"/>
      <c r="Y25" s="52"/>
      <c r="Z25" s="52"/>
      <c r="AA25" s="52"/>
      <c r="AB25" s="52"/>
      <c r="AC25" s="53"/>
      <c r="AD25" s="54"/>
      <c r="AE25" s="52"/>
      <c r="AF25" s="52"/>
      <c r="AG25" s="52"/>
      <c r="AH25" s="52"/>
      <c r="AI25" s="52"/>
      <c r="AJ25" s="52"/>
      <c r="AK25" s="52"/>
      <c r="AL25" s="52"/>
      <c r="AM25" s="52"/>
      <c r="AN25" s="52"/>
      <c r="AO25" s="53"/>
      <c r="AQ25" s="178"/>
    </row>
    <row r="26" spans="1:43" x14ac:dyDescent="0.45">
      <c r="A26" s="195" t="s">
        <v>77</v>
      </c>
      <c r="B26" s="57" t="s">
        <v>78</v>
      </c>
      <c r="C26" s="203" t="s">
        <v>121</v>
      </c>
      <c r="D26" s="58">
        <v>8</v>
      </c>
      <c r="E26" s="62">
        <v>33</v>
      </c>
      <c r="F26" s="51"/>
      <c r="G26" s="52"/>
      <c r="H26" s="52"/>
      <c r="I26" s="52"/>
      <c r="J26" s="52"/>
      <c r="K26" s="52"/>
      <c r="L26" s="52"/>
      <c r="M26" s="52"/>
      <c r="N26" s="52"/>
      <c r="O26" s="52"/>
      <c r="P26" s="52"/>
      <c r="Q26" s="53"/>
      <c r="R26" s="51"/>
      <c r="S26" s="52"/>
      <c r="T26" s="52"/>
      <c r="U26" s="52"/>
      <c r="V26" s="52"/>
      <c r="W26" s="52"/>
      <c r="X26" s="52"/>
      <c r="Y26" s="52"/>
      <c r="Z26" s="52"/>
      <c r="AA26" s="52"/>
      <c r="AB26" s="52"/>
      <c r="AC26" s="53"/>
      <c r="AD26" s="54"/>
      <c r="AE26" s="52"/>
      <c r="AF26" s="52"/>
      <c r="AG26" s="52"/>
      <c r="AH26" s="52"/>
      <c r="AI26" s="52"/>
      <c r="AJ26" s="52"/>
      <c r="AK26" s="52"/>
      <c r="AL26" s="52"/>
      <c r="AM26" s="52"/>
      <c r="AN26" s="52"/>
      <c r="AO26" s="53"/>
      <c r="AQ26" s="178"/>
    </row>
    <row r="27" spans="1:43" ht="26.25" x14ac:dyDescent="0.45">
      <c r="A27" s="195" t="s">
        <v>79</v>
      </c>
      <c r="B27" s="57" t="s">
        <v>80</v>
      </c>
      <c r="C27" s="203" t="s">
        <v>121</v>
      </c>
      <c r="D27" s="58">
        <v>8</v>
      </c>
      <c r="E27" s="62">
        <v>33</v>
      </c>
      <c r="F27" s="51"/>
      <c r="G27" s="52"/>
      <c r="H27" s="52"/>
      <c r="I27" s="52"/>
      <c r="J27" s="52"/>
      <c r="K27" s="52"/>
      <c r="L27" s="52"/>
      <c r="M27" s="52"/>
      <c r="N27" s="52"/>
      <c r="O27" s="52"/>
      <c r="P27" s="52"/>
      <c r="Q27" s="53"/>
      <c r="R27" s="51"/>
      <c r="S27" s="52"/>
      <c r="T27" s="52"/>
      <c r="U27" s="52"/>
      <c r="V27" s="52"/>
      <c r="W27" s="52"/>
      <c r="X27" s="52"/>
      <c r="Y27" s="52"/>
      <c r="Z27" s="52"/>
      <c r="AA27" s="52"/>
      <c r="AB27" s="52"/>
      <c r="AC27" s="53"/>
      <c r="AD27" s="54"/>
      <c r="AE27" s="52"/>
      <c r="AF27" s="52"/>
      <c r="AG27" s="52"/>
      <c r="AH27" s="52"/>
      <c r="AI27" s="52"/>
      <c r="AJ27" s="52"/>
      <c r="AK27" s="52"/>
      <c r="AL27" s="52"/>
      <c r="AM27" s="52"/>
      <c r="AN27" s="52"/>
      <c r="AO27" s="53"/>
      <c r="AQ27" s="178"/>
    </row>
    <row r="28" spans="1:43" ht="26.25" x14ac:dyDescent="0.45">
      <c r="A28" s="195" t="s">
        <v>81</v>
      </c>
      <c r="B28" s="57" t="s">
        <v>82</v>
      </c>
      <c r="C28" s="203" t="s">
        <v>124</v>
      </c>
      <c r="D28" s="58">
        <v>8</v>
      </c>
      <c r="E28" s="62">
        <v>33</v>
      </c>
      <c r="F28" s="51"/>
      <c r="G28" s="52"/>
      <c r="H28" s="52"/>
      <c r="I28" s="52"/>
      <c r="J28" s="52"/>
      <c r="K28" s="52"/>
      <c r="L28" s="52"/>
      <c r="M28" s="52"/>
      <c r="N28" s="52"/>
      <c r="O28" s="52"/>
      <c r="P28" s="52"/>
      <c r="Q28" s="53"/>
      <c r="R28" s="51"/>
      <c r="S28" s="52"/>
      <c r="T28" s="52"/>
      <c r="U28" s="52"/>
      <c r="V28" s="52"/>
      <c r="W28" s="52"/>
      <c r="X28" s="52"/>
      <c r="Y28" s="52"/>
      <c r="Z28" s="52"/>
      <c r="AA28" s="52"/>
      <c r="AB28" s="52"/>
      <c r="AC28" s="53"/>
      <c r="AD28" s="54"/>
      <c r="AE28" s="52"/>
      <c r="AF28" s="52"/>
      <c r="AG28" s="52"/>
      <c r="AH28" s="52"/>
      <c r="AI28" s="52"/>
      <c r="AJ28" s="52"/>
      <c r="AK28" s="52"/>
      <c r="AL28" s="52"/>
      <c r="AM28" s="52"/>
      <c r="AN28" s="52"/>
      <c r="AO28" s="53"/>
      <c r="AQ28" s="178"/>
    </row>
    <row r="29" spans="1:43" ht="26.25" x14ac:dyDescent="0.45">
      <c r="A29" s="47" t="s">
        <v>83</v>
      </c>
      <c r="B29" s="61" t="s">
        <v>84</v>
      </c>
      <c r="C29" s="198" t="s">
        <v>120</v>
      </c>
      <c r="D29" s="49">
        <f>MIN(D30:D33)</f>
        <v>8</v>
      </c>
      <c r="E29" s="50">
        <f>MAX(E30:E33)</f>
        <v>33</v>
      </c>
      <c r="F29" s="51"/>
      <c r="G29" s="52"/>
      <c r="H29" s="52"/>
      <c r="I29" s="52"/>
      <c r="J29" s="52"/>
      <c r="K29" s="52"/>
      <c r="L29" s="52"/>
      <c r="M29" s="52"/>
      <c r="N29" s="52"/>
      <c r="O29" s="52"/>
      <c r="P29" s="52"/>
      <c r="Q29" s="53"/>
      <c r="R29" s="51"/>
      <c r="S29" s="52"/>
      <c r="T29" s="52"/>
      <c r="U29" s="52"/>
      <c r="V29" s="52"/>
      <c r="W29" s="52"/>
      <c r="X29" s="52"/>
      <c r="Y29" s="52"/>
      <c r="Z29" s="52"/>
      <c r="AA29" s="52"/>
      <c r="AB29" s="52"/>
      <c r="AC29" s="53"/>
      <c r="AD29" s="54"/>
      <c r="AE29" s="52"/>
      <c r="AF29" s="52"/>
      <c r="AG29" s="52"/>
      <c r="AH29" s="52"/>
      <c r="AI29" s="52"/>
      <c r="AJ29" s="52"/>
      <c r="AK29" s="52"/>
      <c r="AL29" s="52"/>
      <c r="AM29" s="52"/>
      <c r="AN29" s="52"/>
      <c r="AO29" s="53"/>
      <c r="AQ29" s="178">
        <v>12</v>
      </c>
    </row>
    <row r="30" spans="1:43" x14ac:dyDescent="0.45">
      <c r="A30" s="56" t="s">
        <v>85</v>
      </c>
      <c r="B30" s="57" t="s">
        <v>86</v>
      </c>
      <c r="C30" s="203" t="s">
        <v>116</v>
      </c>
      <c r="D30" s="58">
        <v>8</v>
      </c>
      <c r="E30" s="62">
        <v>33</v>
      </c>
      <c r="F30" s="51"/>
      <c r="G30" s="52"/>
      <c r="H30" s="52"/>
      <c r="I30" s="52"/>
      <c r="J30" s="52"/>
      <c r="K30" s="52"/>
      <c r="L30" s="52"/>
      <c r="M30" s="52"/>
      <c r="N30" s="52"/>
      <c r="O30" s="52"/>
      <c r="P30" s="52"/>
      <c r="Q30" s="53"/>
      <c r="R30" s="51"/>
      <c r="S30" s="52"/>
      <c r="T30" s="52"/>
      <c r="U30" s="52"/>
      <c r="V30" s="52"/>
      <c r="W30" s="52"/>
      <c r="X30" s="52"/>
      <c r="Y30" s="52"/>
      <c r="Z30" s="52"/>
      <c r="AA30" s="52"/>
      <c r="AB30" s="52"/>
      <c r="AC30" s="53"/>
      <c r="AD30" s="54"/>
      <c r="AE30" s="52"/>
      <c r="AF30" s="52"/>
      <c r="AG30" s="52"/>
      <c r="AH30" s="52"/>
      <c r="AI30" s="52"/>
      <c r="AJ30" s="52"/>
      <c r="AK30" s="52"/>
      <c r="AL30" s="52"/>
      <c r="AM30" s="52"/>
      <c r="AN30" s="52"/>
      <c r="AO30" s="53"/>
      <c r="AQ30" s="178">
        <v>2</v>
      </c>
    </row>
    <row r="31" spans="1:43" x14ac:dyDescent="0.45">
      <c r="A31" s="56" t="s">
        <v>87</v>
      </c>
      <c r="B31" s="57" t="s">
        <v>88</v>
      </c>
      <c r="C31" s="203" t="s">
        <v>120</v>
      </c>
      <c r="D31" s="58">
        <v>8</v>
      </c>
      <c r="E31" s="62">
        <v>33</v>
      </c>
      <c r="F31" s="51"/>
      <c r="G31" s="52"/>
      <c r="H31" s="52"/>
      <c r="I31" s="52"/>
      <c r="J31" s="52"/>
      <c r="K31" s="52"/>
      <c r="L31" s="52"/>
      <c r="M31" s="52"/>
      <c r="N31" s="52"/>
      <c r="O31" s="52"/>
      <c r="P31" s="52"/>
      <c r="Q31" s="53"/>
      <c r="R31" s="51"/>
      <c r="S31" s="52"/>
      <c r="T31" s="52"/>
      <c r="U31" s="52"/>
      <c r="V31" s="52"/>
      <c r="W31" s="52"/>
      <c r="X31" s="52"/>
      <c r="Y31" s="52"/>
      <c r="Z31" s="52"/>
      <c r="AA31" s="52"/>
      <c r="AB31" s="52"/>
      <c r="AC31" s="53"/>
      <c r="AD31" s="54"/>
      <c r="AE31" s="52"/>
      <c r="AF31" s="52"/>
      <c r="AG31" s="52"/>
      <c r="AH31" s="52"/>
      <c r="AI31" s="52"/>
      <c r="AJ31" s="52"/>
      <c r="AK31" s="52"/>
      <c r="AL31" s="52"/>
      <c r="AM31" s="52"/>
      <c r="AN31" s="52"/>
      <c r="AO31" s="53"/>
      <c r="AQ31" s="178">
        <v>8</v>
      </c>
    </row>
    <row r="32" spans="1:43" x14ac:dyDescent="0.45">
      <c r="A32" s="195" t="s">
        <v>89</v>
      </c>
      <c r="B32" s="57" t="s">
        <v>90</v>
      </c>
      <c r="C32" s="203" t="s">
        <v>125</v>
      </c>
      <c r="D32" s="58">
        <v>8</v>
      </c>
      <c r="E32" s="62">
        <v>33</v>
      </c>
      <c r="F32" s="51"/>
      <c r="G32" s="52"/>
      <c r="H32" s="52"/>
      <c r="I32" s="52"/>
      <c r="J32" s="52"/>
      <c r="K32" s="52"/>
      <c r="L32" s="52"/>
      <c r="M32" s="52"/>
      <c r="N32" s="52"/>
      <c r="O32" s="52"/>
      <c r="P32" s="52"/>
      <c r="Q32" s="53"/>
      <c r="R32" s="51"/>
      <c r="S32" s="52"/>
      <c r="T32" s="52"/>
      <c r="U32" s="52"/>
      <c r="V32" s="52"/>
      <c r="W32" s="52"/>
      <c r="X32" s="52"/>
      <c r="Y32" s="52"/>
      <c r="Z32" s="52"/>
      <c r="AA32" s="52"/>
      <c r="AB32" s="52"/>
      <c r="AC32" s="53"/>
      <c r="AD32" s="54"/>
      <c r="AE32" s="52"/>
      <c r="AF32" s="52"/>
      <c r="AG32" s="52"/>
      <c r="AH32" s="52"/>
      <c r="AI32" s="52"/>
      <c r="AJ32" s="52"/>
      <c r="AK32" s="52"/>
      <c r="AL32" s="52"/>
      <c r="AM32" s="52"/>
      <c r="AN32" s="52"/>
      <c r="AO32" s="53"/>
      <c r="AQ32" s="178"/>
    </row>
    <row r="33" spans="1:43" ht="26.25" x14ac:dyDescent="0.45">
      <c r="A33" s="195" t="s">
        <v>91</v>
      </c>
      <c r="B33" s="57" t="s">
        <v>92</v>
      </c>
      <c r="C33" s="203" t="s">
        <v>118</v>
      </c>
      <c r="D33" s="58">
        <v>8</v>
      </c>
      <c r="E33" s="62">
        <v>33</v>
      </c>
      <c r="F33" s="51"/>
      <c r="G33" s="52"/>
      <c r="H33" s="52"/>
      <c r="I33" s="52"/>
      <c r="J33" s="52"/>
      <c r="K33" s="52"/>
      <c r="L33" s="52"/>
      <c r="M33" s="52"/>
      <c r="N33" s="52"/>
      <c r="O33" s="52"/>
      <c r="P33" s="52"/>
      <c r="Q33" s="53"/>
      <c r="R33" s="51"/>
      <c r="S33" s="52"/>
      <c r="T33" s="52"/>
      <c r="U33" s="52"/>
      <c r="V33" s="52"/>
      <c r="W33" s="52"/>
      <c r="X33" s="52"/>
      <c r="Y33" s="52"/>
      <c r="Z33" s="52"/>
      <c r="AA33" s="52"/>
      <c r="AB33" s="52"/>
      <c r="AC33" s="53"/>
      <c r="AD33" s="54"/>
      <c r="AE33" s="52"/>
      <c r="AF33" s="52"/>
      <c r="AG33" s="52"/>
      <c r="AH33" s="52"/>
      <c r="AI33" s="52"/>
      <c r="AJ33" s="52"/>
      <c r="AK33" s="52"/>
      <c r="AL33" s="52"/>
      <c r="AM33" s="52"/>
      <c r="AN33" s="52"/>
      <c r="AO33" s="53"/>
      <c r="AQ33" s="178"/>
    </row>
    <row r="34" spans="1:43" x14ac:dyDescent="0.45">
      <c r="A34" s="56" t="s">
        <v>93</v>
      </c>
      <c r="B34" s="57" t="s">
        <v>94</v>
      </c>
      <c r="C34" s="203" t="s">
        <v>121</v>
      </c>
      <c r="D34" s="58">
        <v>8</v>
      </c>
      <c r="E34" s="62">
        <v>33</v>
      </c>
      <c r="F34" s="51"/>
      <c r="G34" s="52"/>
      <c r="H34" s="52"/>
      <c r="I34" s="52"/>
      <c r="J34" s="52"/>
      <c r="K34" s="52"/>
      <c r="L34" s="52"/>
      <c r="M34" s="52"/>
      <c r="N34" s="52"/>
      <c r="O34" s="52"/>
      <c r="P34" s="52"/>
      <c r="Q34" s="53"/>
      <c r="R34" s="51"/>
      <c r="S34" s="52"/>
      <c r="T34" s="52"/>
      <c r="U34" s="52"/>
      <c r="V34" s="52"/>
      <c r="W34" s="52"/>
      <c r="X34" s="52"/>
      <c r="Y34" s="52"/>
      <c r="Z34" s="52"/>
      <c r="AA34" s="52"/>
      <c r="AB34" s="52"/>
      <c r="AC34" s="53"/>
      <c r="AD34" s="54"/>
      <c r="AE34" s="52"/>
      <c r="AF34" s="52"/>
      <c r="AG34" s="52"/>
      <c r="AH34" s="52"/>
      <c r="AI34" s="52"/>
      <c r="AJ34" s="52"/>
      <c r="AK34" s="52"/>
      <c r="AL34" s="52"/>
      <c r="AM34" s="52"/>
      <c r="AN34" s="52"/>
      <c r="AO34" s="53"/>
      <c r="AQ34" s="178">
        <v>2</v>
      </c>
    </row>
    <row r="35" spans="1:43" x14ac:dyDescent="0.45">
      <c r="A35" s="47" t="s">
        <v>95</v>
      </c>
      <c r="B35" s="61" t="s">
        <v>96</v>
      </c>
      <c r="C35" s="198" t="s">
        <v>122</v>
      </c>
      <c r="D35" s="49">
        <f>MIN(D36:D39)</f>
        <v>6</v>
      </c>
      <c r="E35" s="50">
        <f>MAX(E36:E39)</f>
        <v>36</v>
      </c>
      <c r="F35" s="51"/>
      <c r="G35" s="52"/>
      <c r="H35" s="52"/>
      <c r="I35" s="52"/>
      <c r="J35" s="52"/>
      <c r="K35" s="52"/>
      <c r="L35" s="52"/>
      <c r="M35" s="52"/>
      <c r="N35" s="52"/>
      <c r="O35" s="52"/>
      <c r="P35" s="52"/>
      <c r="Q35" s="53"/>
      <c r="R35" s="51"/>
      <c r="S35" s="52"/>
      <c r="T35" s="52"/>
      <c r="U35" s="52"/>
      <c r="V35" s="52"/>
      <c r="W35" s="52"/>
      <c r="X35" s="52"/>
      <c r="Y35" s="52"/>
      <c r="Z35" s="52"/>
      <c r="AA35" s="52"/>
      <c r="AB35" s="52"/>
      <c r="AC35" s="53"/>
      <c r="AD35" s="54"/>
      <c r="AE35" s="52"/>
      <c r="AF35" s="52"/>
      <c r="AG35" s="52"/>
      <c r="AH35" s="52"/>
      <c r="AI35" s="52"/>
      <c r="AJ35" s="52"/>
      <c r="AK35" s="52"/>
      <c r="AL35" s="52"/>
      <c r="AM35" s="52"/>
      <c r="AN35" s="52"/>
      <c r="AO35" s="53"/>
      <c r="AQ35" s="178">
        <v>18</v>
      </c>
    </row>
    <row r="36" spans="1:43" x14ac:dyDescent="0.45">
      <c r="A36" s="204" t="s">
        <v>97</v>
      </c>
      <c r="B36" s="71" t="s">
        <v>98</v>
      </c>
      <c r="C36" s="202" t="s">
        <v>117</v>
      </c>
      <c r="D36" s="73">
        <v>13</v>
      </c>
      <c r="E36" s="74">
        <v>33</v>
      </c>
      <c r="F36" s="51"/>
      <c r="G36" s="52"/>
      <c r="H36" s="52"/>
      <c r="I36" s="52"/>
      <c r="J36" s="52"/>
      <c r="K36" s="52"/>
      <c r="L36" s="52"/>
      <c r="M36" s="52"/>
      <c r="N36" s="52"/>
      <c r="O36" s="52"/>
      <c r="P36" s="52"/>
      <c r="Q36" s="53"/>
      <c r="R36" s="51"/>
      <c r="S36" s="52"/>
      <c r="T36" s="52"/>
      <c r="U36" s="52"/>
      <c r="V36" s="52"/>
      <c r="W36" s="52"/>
      <c r="X36" s="52"/>
      <c r="Y36" s="52"/>
      <c r="Z36" s="52"/>
      <c r="AA36" s="52"/>
      <c r="AB36" s="52"/>
      <c r="AC36" s="53"/>
      <c r="AD36" s="54"/>
      <c r="AE36" s="52"/>
      <c r="AF36" s="52"/>
      <c r="AG36" s="52"/>
      <c r="AH36" s="52"/>
      <c r="AI36" s="52"/>
      <c r="AJ36" s="52"/>
      <c r="AK36" s="52"/>
      <c r="AL36" s="52"/>
      <c r="AM36" s="52"/>
      <c r="AN36" s="52"/>
      <c r="AO36" s="53"/>
      <c r="AQ36" s="178">
        <v>14</v>
      </c>
    </row>
    <row r="37" spans="1:43" x14ac:dyDescent="0.45">
      <c r="A37" s="194" t="s">
        <v>99</v>
      </c>
      <c r="B37" s="68" t="s">
        <v>100</v>
      </c>
      <c r="C37" s="199" t="s">
        <v>122</v>
      </c>
      <c r="D37" s="69">
        <v>6</v>
      </c>
      <c r="E37" s="75">
        <v>24</v>
      </c>
      <c r="F37" s="51"/>
      <c r="G37" s="52"/>
      <c r="H37" s="52"/>
      <c r="I37" s="52"/>
      <c r="J37" s="52"/>
      <c r="K37" s="52"/>
      <c r="L37" s="52"/>
      <c r="M37" s="52"/>
      <c r="N37" s="52"/>
      <c r="O37" s="52"/>
      <c r="P37" s="52"/>
      <c r="Q37" s="53"/>
      <c r="R37" s="51"/>
      <c r="S37" s="52"/>
      <c r="T37" s="52"/>
      <c r="U37" s="52"/>
      <c r="V37" s="52"/>
      <c r="W37" s="52"/>
      <c r="X37" s="52"/>
      <c r="Y37" s="52"/>
      <c r="Z37" s="52"/>
      <c r="AA37" s="52"/>
      <c r="AB37" s="52"/>
      <c r="AC37" s="53"/>
      <c r="AD37" s="54"/>
      <c r="AE37" s="52"/>
      <c r="AF37" s="52"/>
      <c r="AG37" s="52"/>
      <c r="AH37" s="52"/>
      <c r="AI37" s="52"/>
      <c r="AJ37" s="52"/>
      <c r="AK37" s="52"/>
      <c r="AL37" s="52"/>
      <c r="AM37" s="52"/>
      <c r="AN37" s="52"/>
      <c r="AO37" s="53"/>
      <c r="AQ37" s="178"/>
    </row>
    <row r="38" spans="1:43" x14ac:dyDescent="0.45">
      <c r="A38" s="56" t="s">
        <v>101</v>
      </c>
      <c r="B38" s="57" t="s">
        <v>102</v>
      </c>
      <c r="C38" s="203" t="s">
        <v>119</v>
      </c>
      <c r="D38" s="58">
        <v>21</v>
      </c>
      <c r="E38" s="62">
        <v>34</v>
      </c>
      <c r="F38" s="51"/>
      <c r="G38" s="52"/>
      <c r="H38" s="52"/>
      <c r="I38" s="52"/>
      <c r="J38" s="52"/>
      <c r="K38" s="52"/>
      <c r="L38" s="52"/>
      <c r="M38" s="52"/>
      <c r="N38" s="52"/>
      <c r="O38" s="52"/>
      <c r="P38" s="52"/>
      <c r="Q38" s="53"/>
      <c r="R38" s="51"/>
      <c r="S38" s="52"/>
      <c r="T38" s="52"/>
      <c r="U38" s="52"/>
      <c r="V38" s="52"/>
      <c r="W38" s="52"/>
      <c r="X38" s="52"/>
      <c r="Y38" s="52"/>
      <c r="Z38" s="52"/>
      <c r="AA38" s="52"/>
      <c r="AB38" s="52"/>
      <c r="AC38" s="53"/>
      <c r="AD38" s="54"/>
      <c r="AE38" s="52"/>
      <c r="AF38" s="52"/>
      <c r="AG38" s="52"/>
      <c r="AH38" s="52"/>
      <c r="AI38" s="52"/>
      <c r="AJ38" s="52"/>
      <c r="AK38" s="52"/>
      <c r="AL38" s="52"/>
      <c r="AM38" s="52"/>
      <c r="AN38" s="52"/>
      <c r="AO38" s="53"/>
      <c r="AQ38" s="178">
        <v>4</v>
      </c>
    </row>
    <row r="39" spans="1:43" ht="14.65" thickBot="1" x14ac:dyDescent="0.5">
      <c r="A39" s="195" t="s">
        <v>103</v>
      </c>
      <c r="B39" s="57" t="s">
        <v>104</v>
      </c>
      <c r="C39" s="203" t="s">
        <v>125</v>
      </c>
      <c r="D39" s="58">
        <v>30</v>
      </c>
      <c r="E39" s="62">
        <v>36</v>
      </c>
      <c r="F39" s="51"/>
      <c r="G39" s="52"/>
      <c r="H39" s="52"/>
      <c r="I39" s="52"/>
      <c r="J39" s="52"/>
      <c r="K39" s="192"/>
      <c r="L39" s="52"/>
      <c r="M39" s="52"/>
      <c r="N39" s="52"/>
      <c r="O39" s="52"/>
      <c r="P39" s="52"/>
      <c r="Q39" s="190"/>
      <c r="R39" s="51"/>
      <c r="S39" s="52"/>
      <c r="T39" s="52"/>
      <c r="U39" s="52"/>
      <c r="V39" s="52"/>
      <c r="W39" s="192"/>
      <c r="X39" s="52"/>
      <c r="Y39" s="52"/>
      <c r="Z39" s="52"/>
      <c r="AA39" s="52"/>
      <c r="AB39" s="52"/>
      <c r="AC39" s="190"/>
      <c r="AD39" s="54"/>
      <c r="AE39" s="52"/>
      <c r="AF39" s="52"/>
      <c r="AG39" s="52"/>
      <c r="AH39" s="52"/>
      <c r="AI39" s="52"/>
      <c r="AJ39" s="52"/>
      <c r="AK39" s="52"/>
      <c r="AL39" s="192"/>
      <c r="AM39" s="52"/>
      <c r="AN39" s="52"/>
      <c r="AO39" s="190"/>
      <c r="AQ39" s="179"/>
    </row>
    <row r="40" spans="1:43" ht="128.65" customHeight="1" thickBot="1" x14ac:dyDescent="0.5">
      <c r="A40" s="63"/>
      <c r="B40" s="64"/>
      <c r="C40" s="64"/>
      <c r="D40" s="65"/>
      <c r="E40" s="65"/>
      <c r="F40" s="66"/>
      <c r="G40" s="66"/>
      <c r="H40" s="66"/>
      <c r="I40" s="66"/>
      <c r="J40" s="66"/>
      <c r="K40" s="196" t="s">
        <v>112</v>
      </c>
      <c r="L40" s="66"/>
      <c r="M40" s="66"/>
      <c r="N40" s="66"/>
      <c r="O40" s="66"/>
      <c r="P40" s="66"/>
      <c r="Q40" s="191" t="s">
        <v>323</v>
      </c>
      <c r="R40" s="66"/>
      <c r="S40" s="66"/>
      <c r="T40" s="66"/>
      <c r="U40" s="66"/>
      <c r="V40" s="66"/>
      <c r="W40" s="191" t="s">
        <v>324</v>
      </c>
      <c r="X40" s="66"/>
      <c r="Y40" s="66"/>
      <c r="Z40" s="66"/>
      <c r="AA40" s="66"/>
      <c r="AB40" s="66"/>
      <c r="AC40" s="193" t="s">
        <v>111</v>
      </c>
      <c r="AD40" s="66"/>
      <c r="AE40" s="66"/>
      <c r="AF40" s="66"/>
      <c r="AG40" s="66"/>
      <c r="AH40" s="66"/>
      <c r="AI40" s="66"/>
      <c r="AJ40" s="66"/>
      <c r="AK40" s="66"/>
      <c r="AL40" s="191" t="s">
        <v>325</v>
      </c>
      <c r="AM40" s="66"/>
      <c r="AN40" s="66"/>
      <c r="AO40" s="191" t="s">
        <v>326</v>
      </c>
    </row>
  </sheetData>
  <mergeCells count="8">
    <mergeCell ref="AD4:AO4"/>
    <mergeCell ref="A4:A5"/>
    <mergeCell ref="B4:B5"/>
    <mergeCell ref="D4:D5"/>
    <mergeCell ref="E4:E5"/>
    <mergeCell ref="F4:Q4"/>
    <mergeCell ref="R4:AC4"/>
    <mergeCell ref="C4:C5"/>
  </mergeCells>
  <conditionalFormatting sqref="D7:E11">
    <cfRule type="containsBlanks" dxfId="8" priority="11">
      <formula>LEN(TRIM(D7))=0</formula>
    </cfRule>
  </conditionalFormatting>
  <conditionalFormatting sqref="F6:AO39">
    <cfRule type="expression" dxfId="7" priority="12">
      <formula>IF(AND(F$5&gt;=$D6,$E6&gt;=F$5),IF(LEFT($A6,1)="W",1,0),0)</formula>
    </cfRule>
    <cfRule type="expression" dxfId="6" priority="13">
      <formula>IF(AND(F$5&gt;=$D6,$E6&gt;=F$5),IF(LEFT($A6,1)="T",1,0),0)</formula>
    </cfRule>
  </conditionalFormatting>
  <conditionalFormatting sqref="H1 Q1 W1 AC1 AL1 AO1">
    <cfRule type="expression" dxfId="5" priority="16">
      <formula>IF(AND(H$5&gt;=$D2,$E2&gt;=H$5),IF(LEFT(#REF!,1)="W",1,0),0)</formula>
    </cfRule>
    <cfRule type="expression" dxfId="4" priority="17">
      <formula>IF(AND(H$5&gt;=$D2,$E2&gt;=H$5),IF(LEFT(#REF!,1)="T",1,0),0)</formula>
    </cfRule>
  </conditionalFormatting>
  <conditionalFormatting sqref="K2 Q2 AC2 AO2">
    <cfRule type="expression" dxfId="3" priority="20">
      <formula>IF(AND(K$5&gt;=$D2,$E2&gt;=K$5),IF(LEFT(#REF!,1)="W",1,0),0)</formula>
    </cfRule>
    <cfRule type="expression" dxfId="2" priority="21">
      <formula>IF(AND(K$5&gt;=$D2,$E2&gt;=K$5),IF(LEFT(#REF!,1)="T",1,0),0)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753F-3C41-4DE1-9D27-8A7B7DEC4383}">
  <sheetPr>
    <tabColor rgb="FFFFC000"/>
  </sheetPr>
  <dimension ref="A1:L18"/>
  <sheetViews>
    <sheetView topLeftCell="C1" workbookViewId="0">
      <selection activeCell="L5" sqref="L5"/>
    </sheetView>
  </sheetViews>
  <sheetFormatPr defaultRowHeight="14.25" x14ac:dyDescent="0.45"/>
  <cols>
    <col min="2" max="2" width="35" customWidth="1"/>
    <col min="3" max="3" width="43" customWidth="1"/>
    <col min="7" max="7" width="13.19921875" customWidth="1"/>
    <col min="9" max="9" width="11.19921875" customWidth="1"/>
    <col min="10" max="10" width="10.19921875" customWidth="1"/>
    <col min="11" max="11" width="9.6640625" customWidth="1"/>
    <col min="12" max="12" width="16.6640625" customWidth="1"/>
  </cols>
  <sheetData>
    <row r="1" spans="1:12" ht="27" x14ac:dyDescent="0.45">
      <c r="A1" s="162" t="s">
        <v>167</v>
      </c>
      <c r="B1" s="114" t="s">
        <v>168</v>
      </c>
      <c r="C1" s="114" t="s">
        <v>169</v>
      </c>
      <c r="D1" s="114" t="s">
        <v>170</v>
      </c>
      <c r="E1" s="114" t="s">
        <v>171</v>
      </c>
      <c r="F1" s="114" t="s">
        <v>131</v>
      </c>
      <c r="G1" s="114" t="s">
        <v>172</v>
      </c>
      <c r="H1" s="114" t="s">
        <v>173</v>
      </c>
      <c r="I1" s="114" t="s">
        <v>219</v>
      </c>
      <c r="J1" s="114" t="s">
        <v>220</v>
      </c>
      <c r="K1" s="114" t="s">
        <v>135</v>
      </c>
      <c r="L1" s="114" t="s">
        <v>221</v>
      </c>
    </row>
    <row r="2" spans="1:12" ht="27.75" x14ac:dyDescent="0.45">
      <c r="A2" s="163" t="str">
        <f>"D"&amp;D2&amp;"."&amp;(COUNTIF(D:D,D2)-COUNTIF(D2:D1002,D2)+1)</f>
        <v>D1.1</v>
      </c>
      <c r="B2" s="107" t="s">
        <v>174</v>
      </c>
      <c r="C2" s="107" t="s">
        <v>175</v>
      </c>
      <c r="D2" s="108">
        <v>1</v>
      </c>
      <c r="E2" s="108" t="s">
        <v>115</v>
      </c>
      <c r="F2" s="108" t="s">
        <v>176</v>
      </c>
      <c r="G2" s="108" t="s">
        <v>177</v>
      </c>
      <c r="H2" s="108" t="s">
        <v>178</v>
      </c>
      <c r="I2" s="164" t="s">
        <v>116</v>
      </c>
      <c r="J2" s="165" t="s">
        <v>117</v>
      </c>
      <c r="K2" s="109" t="s">
        <v>157</v>
      </c>
      <c r="L2" s="116" t="s">
        <v>224</v>
      </c>
    </row>
    <row r="3" spans="1:12" x14ac:dyDescent="0.45">
      <c r="A3" s="166" t="str">
        <f>"D"&amp;D3&amp;"."&amp;(COUNTIF(D:D,D3)-COUNTIF(D3:D1003,D3)+1)</f>
        <v>D1.2</v>
      </c>
      <c r="B3" s="112" t="s">
        <v>179</v>
      </c>
      <c r="C3" s="110" t="s">
        <v>180</v>
      </c>
      <c r="D3" s="111">
        <v>1</v>
      </c>
      <c r="E3" s="111" t="s">
        <v>117</v>
      </c>
      <c r="F3" s="111" t="s">
        <v>181</v>
      </c>
      <c r="G3" s="111" t="s">
        <v>182</v>
      </c>
      <c r="H3" s="111" t="s">
        <v>183</v>
      </c>
      <c r="I3" s="111" t="s">
        <v>118</v>
      </c>
      <c r="J3" s="111" t="s">
        <v>128</v>
      </c>
      <c r="K3" s="111" t="s">
        <v>157</v>
      </c>
      <c r="L3" s="111" t="s">
        <v>224</v>
      </c>
    </row>
    <row r="4" spans="1:12" ht="27.75" x14ac:dyDescent="0.45">
      <c r="A4" s="166" t="s">
        <v>29</v>
      </c>
      <c r="B4" s="112" t="s">
        <v>184</v>
      </c>
      <c r="C4" s="112" t="s">
        <v>184</v>
      </c>
      <c r="D4" s="111">
        <v>1</v>
      </c>
      <c r="E4" s="111" t="s">
        <v>117</v>
      </c>
      <c r="F4" s="111" t="s">
        <v>176</v>
      </c>
      <c r="G4" s="111" t="s">
        <v>182</v>
      </c>
      <c r="H4" s="111" t="s">
        <v>185</v>
      </c>
      <c r="I4" s="111" t="s">
        <v>124</v>
      </c>
      <c r="J4" s="111" t="s">
        <v>122</v>
      </c>
      <c r="K4" s="111"/>
      <c r="L4" s="111"/>
    </row>
    <row r="5" spans="1:12" ht="27.75" x14ac:dyDescent="0.45">
      <c r="A5" s="166" t="s">
        <v>28</v>
      </c>
      <c r="B5" s="112" t="s">
        <v>186</v>
      </c>
      <c r="C5" s="112" t="s">
        <v>187</v>
      </c>
      <c r="D5" s="111">
        <v>1</v>
      </c>
      <c r="E5" s="111" t="s">
        <v>117</v>
      </c>
      <c r="F5" s="111" t="s">
        <v>176</v>
      </c>
      <c r="G5" s="111" t="s">
        <v>177</v>
      </c>
      <c r="H5" s="111" t="s">
        <v>188</v>
      </c>
      <c r="I5" s="111" t="s">
        <v>120</v>
      </c>
      <c r="J5" s="111" t="s">
        <v>125</v>
      </c>
      <c r="K5" s="111" t="s">
        <v>154</v>
      </c>
      <c r="L5" s="111" t="s">
        <v>224</v>
      </c>
    </row>
    <row r="6" spans="1:12" x14ac:dyDescent="0.45">
      <c r="A6" s="166" t="str">
        <f>"D"&amp;D6&amp;"."&amp;(COUNTIF(D:D,D6)-COUNTIF(D6:D1004,D6)+1)</f>
        <v>D2.1</v>
      </c>
      <c r="B6" s="112" t="s">
        <v>189</v>
      </c>
      <c r="C6" s="112" t="s">
        <v>190</v>
      </c>
      <c r="D6" s="111">
        <v>2</v>
      </c>
      <c r="E6" s="111" t="s">
        <v>117</v>
      </c>
      <c r="F6" s="111" t="s">
        <v>176</v>
      </c>
      <c r="G6" s="111" t="s">
        <v>182</v>
      </c>
      <c r="H6" s="111" t="s">
        <v>183</v>
      </c>
      <c r="I6" s="111" t="s">
        <v>115</v>
      </c>
      <c r="J6" s="111" t="s">
        <v>121</v>
      </c>
      <c r="K6" s="111" t="s">
        <v>157</v>
      </c>
      <c r="L6" s="111" t="s">
        <v>224</v>
      </c>
    </row>
    <row r="7" spans="1:12" ht="27.75" x14ac:dyDescent="0.45">
      <c r="A7" s="163" t="str">
        <f>"D"&amp;D7&amp;"."&amp;(COUNTIF(D:D,D7)-COUNTIF(D7:D1007,D7)+1)</f>
        <v>D2.2</v>
      </c>
      <c r="B7" s="107" t="s">
        <v>191</v>
      </c>
      <c r="C7" s="107" t="s">
        <v>192</v>
      </c>
      <c r="D7" s="108">
        <v>2</v>
      </c>
      <c r="E7" s="108" t="s">
        <v>118</v>
      </c>
      <c r="F7" s="108" t="s">
        <v>176</v>
      </c>
      <c r="G7" s="108" t="s">
        <v>182</v>
      </c>
      <c r="H7" s="108" t="s">
        <v>193</v>
      </c>
      <c r="I7" s="164" t="s">
        <v>125</v>
      </c>
      <c r="J7" s="167" t="s">
        <v>122</v>
      </c>
      <c r="K7" s="109"/>
      <c r="L7" s="109"/>
    </row>
    <row r="8" spans="1:12" ht="27.75" x14ac:dyDescent="0.45">
      <c r="A8" s="163" t="str">
        <f>"D"&amp;D8&amp;"."&amp;(COUNTIF(D:D,D8)-COUNTIF(D8:D1015,D8)+1)</f>
        <v>D2.3</v>
      </c>
      <c r="B8" s="107" t="s">
        <v>194</v>
      </c>
      <c r="C8" s="107" t="s">
        <v>195</v>
      </c>
      <c r="D8" s="108">
        <v>2</v>
      </c>
      <c r="E8" s="108" t="s">
        <v>118</v>
      </c>
      <c r="F8" s="108" t="s">
        <v>176</v>
      </c>
      <c r="G8" s="108" t="s">
        <v>182</v>
      </c>
      <c r="H8" s="108" t="s">
        <v>185</v>
      </c>
      <c r="I8" s="164" t="s">
        <v>116</v>
      </c>
      <c r="J8" s="167" t="s">
        <v>120</v>
      </c>
      <c r="K8" s="109"/>
      <c r="L8" s="109"/>
    </row>
    <row r="9" spans="1:12" ht="27.75" x14ac:dyDescent="0.45">
      <c r="A9" s="163" t="str">
        <f>"D"&amp;D9&amp;"."&amp;(COUNTIF(D:D,D9)-COUNTIF(D9:D1005,D9)+1)</f>
        <v>D3.1</v>
      </c>
      <c r="B9" s="107" t="s">
        <v>196</v>
      </c>
      <c r="C9" s="107" t="s">
        <v>197</v>
      </c>
      <c r="D9" s="108">
        <v>3</v>
      </c>
      <c r="E9" s="108" t="s">
        <v>115</v>
      </c>
      <c r="F9" s="108" t="s">
        <v>176</v>
      </c>
      <c r="G9" s="108" t="s">
        <v>177</v>
      </c>
      <c r="H9" s="108" t="s">
        <v>188</v>
      </c>
      <c r="I9" s="164" t="s">
        <v>126</v>
      </c>
      <c r="J9" s="167" t="s">
        <v>127</v>
      </c>
      <c r="K9" s="109"/>
      <c r="L9" s="109"/>
    </row>
    <row r="10" spans="1:12" ht="27.75" x14ac:dyDescent="0.45">
      <c r="A10" s="163" t="str">
        <f>"D"&amp;D10&amp;"."&amp;(COUNTIF(D:D,D10)-COUNTIF(D10:D1006,D10)+1)</f>
        <v>D3.2</v>
      </c>
      <c r="B10" s="107" t="s">
        <v>199</v>
      </c>
      <c r="C10" s="107" t="s">
        <v>200</v>
      </c>
      <c r="D10" s="108">
        <v>3</v>
      </c>
      <c r="E10" s="108" t="s">
        <v>116</v>
      </c>
      <c r="F10" s="108" t="s">
        <v>201</v>
      </c>
      <c r="G10" s="108" t="s">
        <v>177</v>
      </c>
      <c r="H10" s="108" t="s">
        <v>188</v>
      </c>
      <c r="I10" s="164" t="s">
        <v>123</v>
      </c>
      <c r="J10" s="167" t="s">
        <v>223</v>
      </c>
      <c r="K10" s="109"/>
      <c r="L10" s="109"/>
    </row>
    <row r="11" spans="1:12" ht="27.75" x14ac:dyDescent="0.45">
      <c r="A11" s="163" t="str">
        <f>"D"&amp;D11&amp;"."&amp;(COUNTIF(D:D,D11)-COUNTIF(D11:D1008,D11)+1)</f>
        <v>D4.1</v>
      </c>
      <c r="B11" s="107" t="s">
        <v>202</v>
      </c>
      <c r="C11" s="107" t="s">
        <v>203</v>
      </c>
      <c r="D11" s="108">
        <v>4</v>
      </c>
      <c r="E11" s="108" t="s">
        <v>123</v>
      </c>
      <c r="F11" s="108" t="s">
        <v>176</v>
      </c>
      <c r="G11" s="108" t="s">
        <v>177</v>
      </c>
      <c r="H11" s="108" t="s">
        <v>193</v>
      </c>
      <c r="I11" s="168" t="s">
        <v>117</v>
      </c>
      <c r="J11" s="167" t="s">
        <v>118</v>
      </c>
      <c r="K11" s="109"/>
      <c r="L11" s="109"/>
    </row>
    <row r="12" spans="1:12" ht="27.75" x14ac:dyDescent="0.45">
      <c r="A12" s="163" t="str">
        <f>"D"&amp;D12&amp;"."&amp;(COUNTIF(D:D,D12)-COUNTIF(D12:D1012,D12)+1)</f>
        <v>D4.2</v>
      </c>
      <c r="B12" s="107" t="s">
        <v>204</v>
      </c>
      <c r="C12" s="107" t="s">
        <v>205</v>
      </c>
      <c r="D12" s="108">
        <v>4</v>
      </c>
      <c r="E12" s="108" t="s">
        <v>121</v>
      </c>
      <c r="F12" s="108" t="s">
        <v>201</v>
      </c>
      <c r="G12" s="108" t="s">
        <v>177</v>
      </c>
      <c r="H12" s="108" t="s">
        <v>206</v>
      </c>
      <c r="I12" s="164" t="s">
        <v>127</v>
      </c>
      <c r="J12" s="167" t="s">
        <v>128</v>
      </c>
      <c r="K12" s="109"/>
      <c r="L12" s="109"/>
    </row>
    <row r="13" spans="1:12" ht="27.75" x14ac:dyDescent="0.45">
      <c r="A13" s="163" t="str">
        <f>"D"&amp;D13&amp;"."&amp;(COUNTIF(D:D,D13)-COUNTIF(D13:D1009,D13)+1)</f>
        <v>D5.1</v>
      </c>
      <c r="B13" s="107" t="s">
        <v>207</v>
      </c>
      <c r="C13" s="107" t="s">
        <v>203</v>
      </c>
      <c r="D13" s="108">
        <v>5</v>
      </c>
      <c r="E13" s="108" t="s">
        <v>116</v>
      </c>
      <c r="F13" s="108" t="s">
        <v>176</v>
      </c>
      <c r="G13" s="108" t="s">
        <v>177</v>
      </c>
      <c r="H13" s="108" t="s">
        <v>193</v>
      </c>
      <c r="I13" s="164" t="s">
        <v>223</v>
      </c>
      <c r="J13" s="167" t="s">
        <v>119</v>
      </c>
      <c r="K13" s="109"/>
      <c r="L13" s="109"/>
    </row>
    <row r="14" spans="1:12" ht="27.75" x14ac:dyDescent="0.45">
      <c r="A14" s="163" t="str">
        <f>"D"&amp;D14&amp;"."&amp;(COUNTIF(D:D,D14)-COUNTIF(D14:D1013,D14)+1)</f>
        <v>D5.2</v>
      </c>
      <c r="B14" s="107" t="s">
        <v>208</v>
      </c>
      <c r="C14" s="107" t="s">
        <v>205</v>
      </c>
      <c r="D14" s="108">
        <v>5</v>
      </c>
      <c r="E14" s="108" t="s">
        <v>120</v>
      </c>
      <c r="F14" s="108" t="s">
        <v>201</v>
      </c>
      <c r="G14" s="108" t="s">
        <v>177</v>
      </c>
      <c r="H14" s="108" t="s">
        <v>206</v>
      </c>
      <c r="I14" s="164" t="s">
        <v>126</v>
      </c>
      <c r="J14" s="167" t="s">
        <v>128</v>
      </c>
      <c r="K14" s="109"/>
      <c r="L14" s="109"/>
    </row>
    <row r="15" spans="1:12" ht="15.4" x14ac:dyDescent="0.45">
      <c r="A15" s="163" t="str">
        <f>"D"&amp;D15&amp;"."&amp;(COUNTIF(D:D,D15)-COUNTIF(D15:D1010,D15)+1)</f>
        <v>D6.1</v>
      </c>
      <c r="B15" s="113" t="s">
        <v>209</v>
      </c>
      <c r="C15" s="113" t="s">
        <v>210</v>
      </c>
      <c r="D15" s="108">
        <v>6</v>
      </c>
      <c r="E15" s="108" t="s">
        <v>122</v>
      </c>
      <c r="F15" s="108" t="s">
        <v>201</v>
      </c>
      <c r="G15" s="108" t="s">
        <v>177</v>
      </c>
      <c r="H15" s="108" t="s">
        <v>211</v>
      </c>
      <c r="I15" s="164" t="s">
        <v>116</v>
      </c>
      <c r="J15" s="167" t="s">
        <v>123</v>
      </c>
      <c r="K15" s="109"/>
      <c r="L15" s="109"/>
    </row>
    <row r="16" spans="1:12" ht="27.75" x14ac:dyDescent="0.45">
      <c r="A16" s="169" t="str">
        <f>"D"&amp;D16&amp;"."&amp;(COUNTIF(D:D,D16)-COUNTIF(D16:D1011,D16)+1)</f>
        <v>D6.2</v>
      </c>
      <c r="B16" s="107" t="s">
        <v>212</v>
      </c>
      <c r="C16" s="107" t="s">
        <v>213</v>
      </c>
      <c r="D16" s="108">
        <v>6</v>
      </c>
      <c r="E16" s="108" t="s">
        <v>222</v>
      </c>
      <c r="F16" s="108" t="s">
        <v>201</v>
      </c>
      <c r="G16" s="108" t="s">
        <v>177</v>
      </c>
      <c r="H16" s="108" t="s">
        <v>211</v>
      </c>
      <c r="I16" s="164" t="s">
        <v>124</v>
      </c>
      <c r="J16" s="167" t="s">
        <v>115</v>
      </c>
      <c r="K16" s="109"/>
      <c r="L16" s="109"/>
    </row>
    <row r="17" spans="1:12" ht="15.4" x14ac:dyDescent="0.45">
      <c r="A17" s="163" t="str">
        <f>"D"&amp;D17&amp;"."&amp;(COUNTIF(D:D,D17)-COUNTIF(D17:D1016,D17)+1)</f>
        <v>D6.3</v>
      </c>
      <c r="B17" s="107" t="s">
        <v>214</v>
      </c>
      <c r="C17" s="107" t="s">
        <v>215</v>
      </c>
      <c r="D17" s="108">
        <v>6</v>
      </c>
      <c r="E17" s="108" t="s">
        <v>119</v>
      </c>
      <c r="F17" s="108" t="s">
        <v>216</v>
      </c>
      <c r="G17" s="108" t="s">
        <v>177</v>
      </c>
      <c r="H17" s="108" t="s">
        <v>185</v>
      </c>
      <c r="I17" s="164" t="s">
        <v>115</v>
      </c>
      <c r="J17" s="167" t="s">
        <v>121</v>
      </c>
      <c r="K17" s="109"/>
      <c r="L17" s="109"/>
    </row>
    <row r="18" spans="1:12" ht="27.75" x14ac:dyDescent="0.45">
      <c r="A18" s="163" t="str">
        <f>"D"&amp;D18&amp;"."&amp;(COUNTIF(D:D,D18)-COUNTIF(D18:D1017,D18)+1)</f>
        <v>D6.4</v>
      </c>
      <c r="B18" s="107" t="s">
        <v>217</v>
      </c>
      <c r="C18" s="107" t="s">
        <v>218</v>
      </c>
      <c r="D18" s="108">
        <v>6</v>
      </c>
      <c r="E18" s="108" t="s">
        <v>125</v>
      </c>
      <c r="F18" s="108" t="s">
        <v>176</v>
      </c>
      <c r="G18" s="108" t="s">
        <v>177</v>
      </c>
      <c r="H18" s="108" t="s">
        <v>185</v>
      </c>
      <c r="I18" s="164" t="s">
        <v>119</v>
      </c>
      <c r="J18" s="165" t="s">
        <v>117</v>
      </c>
      <c r="K18" s="109"/>
      <c r="L18" s="109"/>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BF1CFBF-8E80-4779-B8B0-456B99353C00}">
          <x14:formula1>
            <xm:f>SourceData!$B$4:$B$11</xm:f>
          </x14:formula1>
          <xm:sqref>K2:K18</xm:sqref>
        </x14:dataValidation>
        <x14:dataValidation type="list" allowBlank="1" showInputMessage="1" showErrorMessage="1" xr:uid="{E5F0FF5B-F559-4750-9F1D-4817AA8856D3}">
          <x14:formula1>
            <xm:f>SourceData!$F$4:$F$5</xm:f>
          </x14:formula1>
          <xm:sqref>L2:L18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152A3-7C79-4388-9497-6D00E04B38D9}">
  <sheetPr>
    <tabColor theme="4" tint="0.39997558519241921"/>
  </sheetPr>
  <dimension ref="B2:C19"/>
  <sheetViews>
    <sheetView workbookViewId="0">
      <selection activeCell="B16" sqref="B16"/>
    </sheetView>
  </sheetViews>
  <sheetFormatPr defaultRowHeight="14.25" x14ac:dyDescent="0.45"/>
  <cols>
    <col min="2" max="2" width="30.53125" customWidth="1"/>
    <col min="3" max="3" width="126.46484375" customWidth="1"/>
  </cols>
  <sheetData>
    <row r="2" spans="2:3" ht="15.75" x14ac:dyDescent="0.45">
      <c r="B2" s="244" t="s">
        <v>327</v>
      </c>
      <c r="C2" s="244"/>
    </row>
    <row r="3" spans="2:3" x14ac:dyDescent="0.45">
      <c r="B3" s="118"/>
      <c r="C3" s="118"/>
    </row>
    <row r="4" spans="2:3" ht="14.65" thickBot="1" x14ac:dyDescent="0.5">
      <c r="B4" s="118"/>
      <c r="C4" s="118"/>
    </row>
    <row r="5" spans="2:3" x14ac:dyDescent="0.45">
      <c r="B5" s="205" t="s">
        <v>328</v>
      </c>
      <c r="C5" s="206" t="s">
        <v>335</v>
      </c>
    </row>
    <row r="6" spans="2:3" x14ac:dyDescent="0.45">
      <c r="B6" s="207" t="s">
        <v>329</v>
      </c>
      <c r="C6" s="208" t="s">
        <v>336</v>
      </c>
    </row>
    <row r="7" spans="2:3" x14ac:dyDescent="0.45">
      <c r="B7" s="207" t="s">
        <v>330</v>
      </c>
      <c r="C7" s="208" t="s">
        <v>331</v>
      </c>
    </row>
    <row r="8" spans="2:3" x14ac:dyDescent="0.45">
      <c r="B8" s="207" t="s">
        <v>332</v>
      </c>
      <c r="C8" s="208" t="s">
        <v>338</v>
      </c>
    </row>
    <row r="9" spans="2:3" x14ac:dyDescent="0.45">
      <c r="B9" s="207" t="s">
        <v>333</v>
      </c>
      <c r="C9" s="208" t="s">
        <v>339</v>
      </c>
    </row>
    <row r="10" spans="2:3" ht="14.65" thickBot="1" x14ac:dyDescent="0.5">
      <c r="B10" s="209" t="s">
        <v>334</v>
      </c>
      <c r="C10" s="210" t="s">
        <v>340</v>
      </c>
    </row>
    <row r="11" spans="2:3" x14ac:dyDescent="0.45">
      <c r="B11" s="118"/>
      <c r="C11" s="118"/>
    </row>
    <row r="12" spans="2:3" x14ac:dyDescent="0.45">
      <c r="B12" s="118"/>
      <c r="C12" s="118"/>
    </row>
    <row r="13" spans="2:3" x14ac:dyDescent="0.45">
      <c r="B13" s="118"/>
      <c r="C13" s="118"/>
    </row>
    <row r="14" spans="2:3" ht="14.65" thickBot="1" x14ac:dyDescent="0.5">
      <c r="B14" s="118"/>
      <c r="C14" s="118"/>
    </row>
    <row r="15" spans="2:3" ht="99.75" x14ac:dyDescent="0.45">
      <c r="B15" s="213" t="s">
        <v>341</v>
      </c>
      <c r="C15" s="214" t="s">
        <v>345</v>
      </c>
    </row>
    <row r="16" spans="2:3" ht="128.25" x14ac:dyDescent="0.45">
      <c r="B16" s="215" t="s">
        <v>342</v>
      </c>
      <c r="C16" s="216" t="s">
        <v>346</v>
      </c>
    </row>
    <row r="17" spans="2:3" ht="85.5" x14ac:dyDescent="0.45">
      <c r="B17" s="215" t="s">
        <v>343</v>
      </c>
      <c r="C17" s="216" t="s">
        <v>347</v>
      </c>
    </row>
    <row r="18" spans="2:3" ht="142.9" thickBot="1" x14ac:dyDescent="0.5">
      <c r="B18" s="217" t="s">
        <v>344</v>
      </c>
      <c r="C18" s="218" t="s">
        <v>348</v>
      </c>
    </row>
    <row r="19" spans="2:3" x14ac:dyDescent="0.45">
      <c r="B19" s="211"/>
      <c r="C19" s="212"/>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0305-2139-478A-AEB6-3D1D66E3422B}">
  <sheetPr>
    <tabColor rgb="FF7030A0"/>
  </sheetPr>
  <dimension ref="B1:I27"/>
  <sheetViews>
    <sheetView workbookViewId="0">
      <selection activeCell="I7" sqref="I7"/>
    </sheetView>
  </sheetViews>
  <sheetFormatPr defaultRowHeight="14.25" x14ac:dyDescent="0.45"/>
  <cols>
    <col min="1" max="1" width="8.86328125" customWidth="1"/>
    <col min="2" max="2" width="10.6640625" customWidth="1"/>
    <col min="3" max="3" width="16.33203125" customWidth="1"/>
    <col min="4" max="4" width="20.86328125" customWidth="1"/>
    <col min="5" max="5" width="18.6640625" customWidth="1"/>
    <col min="6" max="6" width="22.19921875" customWidth="1"/>
    <col min="7" max="7" width="18.86328125" customWidth="1"/>
    <col min="8" max="8" width="30.6640625" customWidth="1"/>
    <col min="9" max="9" width="23.33203125" customWidth="1"/>
  </cols>
  <sheetData>
    <row r="1" spans="2:9" ht="32.65" customHeight="1" x14ac:dyDescent="0.45">
      <c r="B1" s="245" t="s">
        <v>130</v>
      </c>
      <c r="C1" s="245"/>
      <c r="D1" s="245"/>
      <c r="E1" s="245"/>
      <c r="F1" s="245"/>
      <c r="G1" s="245"/>
      <c r="H1" s="245"/>
      <c r="I1" s="245"/>
    </row>
    <row r="2" spans="2:9" ht="14.65" thickBot="1" x14ac:dyDescent="0.5">
      <c r="B2" s="92"/>
      <c r="C2" s="92"/>
      <c r="D2" s="92"/>
      <c r="E2" s="92"/>
      <c r="F2" s="92"/>
      <c r="G2" s="92"/>
      <c r="H2" s="92"/>
      <c r="I2" s="92"/>
    </row>
    <row r="3" spans="2:9" ht="15.75" x14ac:dyDescent="0.45">
      <c r="B3" s="101" t="s">
        <v>30</v>
      </c>
      <c r="C3" s="102" t="s">
        <v>131</v>
      </c>
      <c r="D3" s="102" t="s">
        <v>31</v>
      </c>
      <c r="E3" s="102" t="s">
        <v>132</v>
      </c>
      <c r="F3" s="102" t="s">
        <v>8</v>
      </c>
      <c r="G3" s="102" t="s">
        <v>133</v>
      </c>
      <c r="H3" s="102" t="s">
        <v>134</v>
      </c>
      <c r="I3" s="103" t="s">
        <v>135</v>
      </c>
    </row>
    <row r="4" spans="2:9" ht="28.5" x14ac:dyDescent="0.45">
      <c r="B4" s="104">
        <v>0</v>
      </c>
      <c r="C4" s="105" t="s">
        <v>136</v>
      </c>
      <c r="D4" s="105" t="s">
        <v>137</v>
      </c>
      <c r="E4" s="105" t="s">
        <v>138</v>
      </c>
      <c r="F4" s="105" t="s">
        <v>139</v>
      </c>
      <c r="G4" s="105" t="s">
        <v>139</v>
      </c>
      <c r="H4" s="105" t="s">
        <v>140</v>
      </c>
      <c r="I4" s="106" t="s">
        <v>141</v>
      </c>
    </row>
    <row r="5" spans="2:9" ht="28.5" x14ac:dyDescent="0.45">
      <c r="B5" s="95" t="str">
        <f>IF(C5&lt;&gt;"", TEXT(ROW() - ROW($B$6) + 2, "000"), "")</f>
        <v>001</v>
      </c>
      <c r="C5" s="92" t="s">
        <v>142</v>
      </c>
      <c r="D5" s="93" t="s">
        <v>162</v>
      </c>
      <c r="E5" s="93" t="s">
        <v>145</v>
      </c>
      <c r="F5" s="96">
        <v>45608</v>
      </c>
      <c r="G5" s="96">
        <v>45609</v>
      </c>
      <c r="H5" s="93" t="s">
        <v>163</v>
      </c>
      <c r="I5" s="97" t="s">
        <v>143</v>
      </c>
    </row>
    <row r="6" spans="2:9" ht="28.5" x14ac:dyDescent="0.45">
      <c r="B6" s="95" t="str">
        <f>IF(C6&lt;&gt;"", TEXT(ROW() - ROW($B$6) + 2, "000"), "")</f>
        <v>002</v>
      </c>
      <c r="C6" s="92" t="s">
        <v>144</v>
      </c>
      <c r="D6" s="93" t="s">
        <v>165</v>
      </c>
      <c r="E6" s="93" t="s">
        <v>164</v>
      </c>
      <c r="F6" s="96">
        <v>45747</v>
      </c>
      <c r="G6" s="96">
        <v>45748</v>
      </c>
      <c r="H6" s="93" t="s">
        <v>166</v>
      </c>
      <c r="I6" s="97" t="s">
        <v>143</v>
      </c>
    </row>
    <row r="7" spans="2:9" x14ac:dyDescent="0.45">
      <c r="B7" s="95" t="str">
        <f t="shared" ref="B7:B27" si="0">IF(C7&lt;&gt;"", TEXT(ROW() - ROW($B$6) + 2, "000"), "")</f>
        <v>003</v>
      </c>
      <c r="C7" s="92" t="s">
        <v>144</v>
      </c>
      <c r="D7" s="93" t="s">
        <v>359</v>
      </c>
      <c r="E7" s="93" t="s">
        <v>360</v>
      </c>
      <c r="F7" s="96">
        <v>45833</v>
      </c>
      <c r="G7" s="96">
        <v>45834</v>
      </c>
      <c r="H7" s="93" t="s">
        <v>361</v>
      </c>
      <c r="I7" s="97" t="s">
        <v>143</v>
      </c>
    </row>
    <row r="8" spans="2:9" x14ac:dyDescent="0.45">
      <c r="B8" s="95" t="str">
        <f t="shared" si="0"/>
        <v/>
      </c>
      <c r="C8" s="92"/>
      <c r="D8" s="93"/>
      <c r="E8" s="93"/>
      <c r="F8" s="96"/>
      <c r="G8" s="96"/>
      <c r="H8" s="93"/>
      <c r="I8" s="97"/>
    </row>
    <row r="9" spans="2:9" x14ac:dyDescent="0.45">
      <c r="B9" s="95" t="str">
        <f t="shared" si="0"/>
        <v/>
      </c>
      <c r="C9" s="92"/>
      <c r="D9" s="93"/>
      <c r="E9" s="93"/>
      <c r="F9" s="96"/>
      <c r="G9" s="96"/>
      <c r="H9" s="93"/>
      <c r="I9" s="97"/>
    </row>
    <row r="10" spans="2:9" x14ac:dyDescent="0.45">
      <c r="B10" s="95" t="str">
        <f t="shared" si="0"/>
        <v/>
      </c>
      <c r="C10" s="92"/>
      <c r="D10" s="92"/>
      <c r="E10" s="92"/>
      <c r="F10" s="96"/>
      <c r="G10" s="96"/>
      <c r="H10" s="93"/>
      <c r="I10" s="97"/>
    </row>
    <row r="11" spans="2:9" x14ac:dyDescent="0.45">
      <c r="B11" s="95" t="str">
        <f t="shared" si="0"/>
        <v/>
      </c>
      <c r="C11" s="92"/>
      <c r="D11" s="92"/>
      <c r="E11" s="92"/>
      <c r="F11" s="92"/>
      <c r="G11" s="92"/>
      <c r="H11" s="92"/>
      <c r="I11" s="97"/>
    </row>
    <row r="12" spans="2:9" x14ac:dyDescent="0.45">
      <c r="B12" s="95" t="str">
        <f t="shared" si="0"/>
        <v/>
      </c>
      <c r="C12" s="92"/>
      <c r="D12" s="92"/>
      <c r="E12" s="92"/>
      <c r="F12" s="92"/>
      <c r="G12" s="92"/>
      <c r="H12" s="92"/>
      <c r="I12" s="97"/>
    </row>
    <row r="13" spans="2:9" x14ac:dyDescent="0.45">
      <c r="B13" s="95" t="str">
        <f t="shared" si="0"/>
        <v/>
      </c>
      <c r="C13" s="92"/>
      <c r="D13" s="92"/>
      <c r="E13" s="92"/>
      <c r="F13" s="92"/>
      <c r="G13" s="92"/>
      <c r="H13" s="92"/>
      <c r="I13" s="97"/>
    </row>
    <row r="14" spans="2:9" x14ac:dyDescent="0.45">
      <c r="B14" s="95" t="str">
        <f t="shared" si="0"/>
        <v/>
      </c>
      <c r="C14" s="92"/>
      <c r="D14" s="92"/>
      <c r="E14" s="92"/>
      <c r="F14" s="92"/>
      <c r="G14" s="92"/>
      <c r="H14" s="92"/>
      <c r="I14" s="97"/>
    </row>
    <row r="15" spans="2:9" x14ac:dyDescent="0.45">
      <c r="B15" s="95" t="str">
        <f t="shared" si="0"/>
        <v/>
      </c>
      <c r="C15" s="92"/>
      <c r="D15" s="92"/>
      <c r="E15" s="92"/>
      <c r="F15" s="92"/>
      <c r="G15" s="92"/>
      <c r="H15" s="92"/>
      <c r="I15" s="97"/>
    </row>
    <row r="16" spans="2:9" x14ac:dyDescent="0.45">
      <c r="B16" s="95" t="str">
        <f t="shared" si="0"/>
        <v/>
      </c>
      <c r="C16" s="92"/>
      <c r="D16" s="92"/>
      <c r="E16" s="92"/>
      <c r="F16" s="92"/>
      <c r="G16" s="92"/>
      <c r="H16" s="92"/>
      <c r="I16" s="97"/>
    </row>
    <row r="17" spans="2:9" x14ac:dyDescent="0.45">
      <c r="B17" s="95" t="str">
        <f t="shared" si="0"/>
        <v/>
      </c>
      <c r="C17" s="92"/>
      <c r="D17" s="92"/>
      <c r="E17" s="92"/>
      <c r="F17" s="92"/>
      <c r="G17" s="92"/>
      <c r="H17" s="92"/>
      <c r="I17" s="97"/>
    </row>
    <row r="18" spans="2:9" x14ac:dyDescent="0.45">
      <c r="B18" s="95" t="str">
        <f t="shared" si="0"/>
        <v/>
      </c>
      <c r="C18" s="92"/>
      <c r="D18" s="92"/>
      <c r="E18" s="92"/>
      <c r="F18" s="92"/>
      <c r="G18" s="92"/>
      <c r="H18" s="92"/>
      <c r="I18" s="97"/>
    </row>
    <row r="19" spans="2:9" x14ac:dyDescent="0.45">
      <c r="B19" s="95" t="str">
        <f t="shared" si="0"/>
        <v/>
      </c>
      <c r="C19" s="92"/>
      <c r="D19" s="92"/>
      <c r="E19" s="92"/>
      <c r="F19" s="92"/>
      <c r="G19" s="92"/>
      <c r="H19" s="92"/>
      <c r="I19" s="97"/>
    </row>
    <row r="20" spans="2:9" x14ac:dyDescent="0.45">
      <c r="B20" s="95" t="str">
        <f t="shared" si="0"/>
        <v/>
      </c>
      <c r="C20" s="92"/>
      <c r="D20" s="92"/>
      <c r="E20" s="92"/>
      <c r="F20" s="92"/>
      <c r="G20" s="92"/>
      <c r="H20" s="92"/>
      <c r="I20" s="97"/>
    </row>
    <row r="21" spans="2:9" x14ac:dyDescent="0.45">
      <c r="B21" s="95" t="str">
        <f t="shared" si="0"/>
        <v/>
      </c>
      <c r="C21" s="92"/>
      <c r="D21" s="92"/>
      <c r="E21" s="92"/>
      <c r="F21" s="92"/>
      <c r="G21" s="92"/>
      <c r="H21" s="92"/>
      <c r="I21" s="97"/>
    </row>
    <row r="22" spans="2:9" x14ac:dyDescent="0.45">
      <c r="B22" s="95" t="str">
        <f t="shared" si="0"/>
        <v/>
      </c>
      <c r="C22" s="92"/>
      <c r="D22" s="92"/>
      <c r="E22" s="92"/>
      <c r="F22" s="92"/>
      <c r="G22" s="92"/>
      <c r="H22" s="92"/>
      <c r="I22" s="97"/>
    </row>
    <row r="23" spans="2:9" x14ac:dyDescent="0.45">
      <c r="B23" s="95" t="str">
        <f t="shared" si="0"/>
        <v/>
      </c>
      <c r="C23" s="92"/>
      <c r="D23" s="92"/>
      <c r="E23" s="92"/>
      <c r="F23" s="92"/>
      <c r="G23" s="92"/>
      <c r="H23" s="92"/>
      <c r="I23" s="97"/>
    </row>
    <row r="24" spans="2:9" x14ac:dyDescent="0.45">
      <c r="B24" s="95" t="str">
        <f t="shared" si="0"/>
        <v/>
      </c>
      <c r="C24" s="92"/>
      <c r="I24" s="97"/>
    </row>
    <row r="25" spans="2:9" x14ac:dyDescent="0.45">
      <c r="B25" s="95" t="str">
        <f t="shared" si="0"/>
        <v/>
      </c>
      <c r="C25" s="92"/>
      <c r="I25" s="97"/>
    </row>
    <row r="26" spans="2:9" x14ac:dyDescent="0.45">
      <c r="B26" s="95" t="str">
        <f t="shared" si="0"/>
        <v/>
      </c>
      <c r="C26" s="92"/>
      <c r="I26" s="97"/>
    </row>
    <row r="27" spans="2:9" ht="14.65" thickBot="1" x14ac:dyDescent="0.5">
      <c r="B27" s="129" t="str">
        <f t="shared" si="0"/>
        <v/>
      </c>
      <c r="C27" s="98"/>
      <c r="D27" s="99"/>
      <c r="E27" s="99"/>
      <c r="F27" s="99"/>
      <c r="G27" s="99"/>
      <c r="H27" s="99"/>
      <c r="I27" s="130"/>
    </row>
  </sheetData>
  <mergeCells count="1">
    <mergeCell ref="B1:I1"/>
  </mergeCells>
  <dataValidations count="1">
    <dataValidation type="date" allowBlank="1" showInputMessage="1" showErrorMessage="1" sqref="F5:G23" xr:uid="{9DC5C591-7A92-4566-BCA5-FE6DF8C99800}">
      <formula1>44927</formula1>
      <formula2>46753</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15B95FD-2CA5-48A1-8A5C-E8E939042909}">
          <x14:formula1>
            <xm:f>SourceData!$D$4:$D$8</xm:f>
          </x14:formula1>
          <xm:sqref>C5:C27</xm:sqref>
        </x14:dataValidation>
        <x14:dataValidation type="list" allowBlank="1" showInputMessage="1" showErrorMessage="1" xr:uid="{4AB7E8F3-6F07-4911-955F-EB88B4ADE05A}">
          <x14:formula1>
            <xm:f>SourceData!$C$4:$C$6</xm:f>
          </x14:formula1>
          <xm:sqref>I5:I27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7D6B-65EE-4506-8516-1C0CFBBD44D0}">
  <sheetPr>
    <tabColor rgb="FF7030A0"/>
  </sheetPr>
  <dimension ref="B1:F32"/>
  <sheetViews>
    <sheetView tabSelected="1" workbookViewId="0">
      <selection activeCell="E10" sqref="E10"/>
    </sheetView>
  </sheetViews>
  <sheetFormatPr defaultRowHeight="14.25" x14ac:dyDescent="0.45"/>
  <cols>
    <col min="2" max="2" width="14.1328125" customWidth="1"/>
    <col min="3" max="3" width="12.53125" customWidth="1"/>
    <col min="4" max="4" width="49.86328125" customWidth="1"/>
    <col min="5" max="5" width="55.6640625" customWidth="1"/>
    <col min="6" max="6" width="44.46484375" customWidth="1"/>
  </cols>
  <sheetData>
    <row r="1" spans="2:6" ht="30" customHeight="1" x14ac:dyDescent="0.45">
      <c r="B1" s="246" t="s">
        <v>225</v>
      </c>
      <c r="C1" s="246"/>
      <c r="D1" s="246"/>
      <c r="E1" s="246"/>
      <c r="F1" s="246"/>
    </row>
    <row r="2" spans="2:6" x14ac:dyDescent="0.45">
      <c r="B2" s="117"/>
      <c r="C2" s="118"/>
      <c r="D2" s="118"/>
      <c r="E2" s="118"/>
      <c r="F2" s="118"/>
    </row>
    <row r="3" spans="2:6" x14ac:dyDescent="0.45">
      <c r="B3" s="119" t="s">
        <v>30</v>
      </c>
      <c r="C3" s="119" t="s">
        <v>226</v>
      </c>
      <c r="D3" s="119" t="s">
        <v>227</v>
      </c>
      <c r="E3" s="119" t="s">
        <v>228</v>
      </c>
      <c r="F3" s="119" t="s">
        <v>229</v>
      </c>
    </row>
    <row r="4" spans="2:6" ht="142.5" x14ac:dyDescent="0.45">
      <c r="B4" s="120" t="str">
        <f>IF(D4&lt;&gt;"", TEXT(ROW() - ROW($B$5) + 2, "000"), "")</f>
        <v>001</v>
      </c>
      <c r="C4" s="121">
        <v>45754</v>
      </c>
      <c r="D4" s="122" t="s">
        <v>231</v>
      </c>
      <c r="E4" s="123" t="s">
        <v>230</v>
      </c>
      <c r="F4" s="124" t="s">
        <v>352</v>
      </c>
    </row>
    <row r="5" spans="2:6" ht="142.5" x14ac:dyDescent="0.45">
      <c r="B5" s="120" t="str">
        <f>IF(D5&lt;&gt;"", TEXT(ROW() - ROW($B$5) + 2, "000"), "")</f>
        <v>002</v>
      </c>
      <c r="C5" s="125">
        <v>45771</v>
      </c>
      <c r="D5" s="126" t="s">
        <v>349</v>
      </c>
      <c r="E5" s="225" t="s">
        <v>350</v>
      </c>
      <c r="F5" s="127" t="s">
        <v>351</v>
      </c>
    </row>
    <row r="6" spans="2:6" ht="42.75" x14ac:dyDescent="0.45">
      <c r="B6" s="120" t="str">
        <f t="shared" ref="B6:B32" si="0">IF(D6&lt;&gt;"", TEXT(ROW() - ROW($B$5) + 2, "000"), "")</f>
        <v>003</v>
      </c>
      <c r="C6" s="128">
        <v>45775</v>
      </c>
      <c r="D6" s="126" t="s">
        <v>354</v>
      </c>
      <c r="E6" s="127"/>
      <c r="F6" s="226" t="s">
        <v>353</v>
      </c>
    </row>
    <row r="7" spans="2:6" ht="71.25" x14ac:dyDescent="0.45">
      <c r="B7" s="120" t="str">
        <f t="shared" si="0"/>
        <v>004</v>
      </c>
      <c r="C7" s="128">
        <v>45783</v>
      </c>
      <c r="D7" s="126" t="s">
        <v>355</v>
      </c>
      <c r="E7" s="127" t="s">
        <v>364</v>
      </c>
      <c r="F7" s="226" t="s">
        <v>356</v>
      </c>
    </row>
    <row r="8" spans="2:6" ht="28.5" x14ac:dyDescent="0.45">
      <c r="B8" s="120" t="str">
        <f t="shared" si="0"/>
        <v>005</v>
      </c>
      <c r="C8" s="128">
        <v>45785</v>
      </c>
      <c r="D8" s="127" t="s">
        <v>357</v>
      </c>
      <c r="E8" s="225" t="s">
        <v>365</v>
      </c>
      <c r="F8" s="226" t="s">
        <v>358</v>
      </c>
    </row>
    <row r="9" spans="2:6" ht="28.5" x14ac:dyDescent="0.45">
      <c r="B9" s="120" t="str">
        <f t="shared" si="0"/>
        <v>006</v>
      </c>
      <c r="C9" s="227">
        <v>45821</v>
      </c>
      <c r="D9" s="109" t="s">
        <v>362</v>
      </c>
      <c r="E9" s="109" t="s">
        <v>366</v>
      </c>
      <c r="F9" s="226" t="s">
        <v>363</v>
      </c>
    </row>
    <row r="10" spans="2:6" x14ac:dyDescent="0.45">
      <c r="B10" s="120" t="str">
        <f t="shared" si="0"/>
        <v/>
      </c>
      <c r="C10" s="109"/>
      <c r="D10" s="109"/>
      <c r="E10" s="109"/>
      <c r="F10" s="109"/>
    </row>
    <row r="11" spans="2:6" x14ac:dyDescent="0.45">
      <c r="B11" s="120" t="str">
        <f t="shared" si="0"/>
        <v/>
      </c>
      <c r="C11" s="109"/>
      <c r="D11" s="109"/>
      <c r="E11" s="109"/>
      <c r="F11" s="109"/>
    </row>
    <row r="12" spans="2:6" x14ac:dyDescent="0.45">
      <c r="B12" s="120" t="str">
        <f t="shared" si="0"/>
        <v/>
      </c>
      <c r="C12" s="109"/>
      <c r="D12" s="109"/>
      <c r="E12" s="109"/>
      <c r="F12" s="109"/>
    </row>
    <row r="13" spans="2:6" x14ac:dyDescent="0.45">
      <c r="B13" s="120" t="str">
        <f t="shared" si="0"/>
        <v/>
      </c>
      <c r="C13" s="109"/>
      <c r="D13" s="109"/>
      <c r="E13" s="109"/>
      <c r="F13" s="109"/>
    </row>
    <row r="14" spans="2:6" x14ac:dyDescent="0.45">
      <c r="B14" s="120" t="str">
        <f t="shared" si="0"/>
        <v/>
      </c>
      <c r="C14" s="109"/>
      <c r="D14" s="109"/>
      <c r="E14" s="109"/>
      <c r="F14" s="109"/>
    </row>
    <row r="15" spans="2:6" x14ac:dyDescent="0.45">
      <c r="B15" s="120" t="str">
        <f t="shared" si="0"/>
        <v/>
      </c>
      <c r="C15" s="109"/>
      <c r="D15" s="109"/>
      <c r="E15" s="109"/>
      <c r="F15" s="109"/>
    </row>
    <row r="16" spans="2:6" x14ac:dyDescent="0.45">
      <c r="B16" s="120" t="str">
        <f t="shared" si="0"/>
        <v/>
      </c>
      <c r="C16" s="109"/>
      <c r="D16" s="109"/>
      <c r="E16" s="109"/>
      <c r="F16" s="109"/>
    </row>
    <row r="17" spans="2:6" x14ac:dyDescent="0.45">
      <c r="B17" s="120" t="str">
        <f t="shared" si="0"/>
        <v/>
      </c>
      <c r="C17" s="109"/>
      <c r="D17" s="109"/>
      <c r="E17" s="109"/>
      <c r="F17" s="109"/>
    </row>
    <row r="18" spans="2:6" x14ac:dyDescent="0.45">
      <c r="B18" s="120" t="str">
        <f t="shared" si="0"/>
        <v/>
      </c>
      <c r="C18" s="109"/>
      <c r="D18" s="109"/>
      <c r="E18" s="109"/>
      <c r="F18" s="109"/>
    </row>
    <row r="19" spans="2:6" x14ac:dyDescent="0.45">
      <c r="B19" s="120" t="str">
        <f t="shared" si="0"/>
        <v/>
      </c>
      <c r="C19" s="109"/>
      <c r="D19" s="109"/>
      <c r="E19" s="109"/>
      <c r="F19" s="109"/>
    </row>
    <row r="20" spans="2:6" x14ac:dyDescent="0.45">
      <c r="B20" s="120" t="str">
        <f t="shared" si="0"/>
        <v/>
      </c>
      <c r="C20" s="109"/>
      <c r="D20" s="109"/>
      <c r="E20" s="109"/>
      <c r="F20" s="109"/>
    </row>
    <row r="21" spans="2:6" x14ac:dyDescent="0.45">
      <c r="B21" s="120" t="str">
        <f t="shared" si="0"/>
        <v/>
      </c>
      <c r="C21" s="109"/>
      <c r="D21" s="109"/>
      <c r="E21" s="109"/>
      <c r="F21" s="109"/>
    </row>
    <row r="22" spans="2:6" x14ac:dyDescent="0.45">
      <c r="B22" s="120" t="str">
        <f t="shared" si="0"/>
        <v/>
      </c>
      <c r="C22" s="109"/>
      <c r="D22" s="109"/>
      <c r="E22" s="109"/>
      <c r="F22" s="109"/>
    </row>
    <row r="23" spans="2:6" x14ac:dyDescent="0.45">
      <c r="B23" s="120" t="str">
        <f t="shared" si="0"/>
        <v/>
      </c>
      <c r="C23" s="109"/>
      <c r="D23" s="109"/>
      <c r="E23" s="109"/>
      <c r="F23" s="109"/>
    </row>
    <row r="24" spans="2:6" x14ac:dyDescent="0.45">
      <c r="B24" s="120" t="str">
        <f t="shared" si="0"/>
        <v/>
      </c>
      <c r="C24" s="109"/>
      <c r="D24" s="109"/>
      <c r="E24" s="109"/>
      <c r="F24" s="109"/>
    </row>
    <row r="25" spans="2:6" x14ac:dyDescent="0.45">
      <c r="B25" s="120" t="str">
        <f t="shared" si="0"/>
        <v/>
      </c>
      <c r="C25" s="109"/>
      <c r="D25" s="109"/>
      <c r="E25" s="109"/>
      <c r="F25" s="109"/>
    </row>
    <row r="26" spans="2:6" x14ac:dyDescent="0.45">
      <c r="B26" s="120" t="str">
        <f t="shared" si="0"/>
        <v/>
      </c>
      <c r="C26" s="109"/>
      <c r="D26" s="109"/>
      <c r="E26" s="109"/>
      <c r="F26" s="109"/>
    </row>
    <row r="27" spans="2:6" x14ac:dyDescent="0.45">
      <c r="B27" s="120" t="str">
        <f t="shared" si="0"/>
        <v/>
      </c>
      <c r="C27" s="109"/>
      <c r="D27" s="109"/>
      <c r="E27" s="109"/>
      <c r="F27" s="109"/>
    </row>
    <row r="28" spans="2:6" x14ac:dyDescent="0.45">
      <c r="B28" s="120" t="str">
        <f t="shared" si="0"/>
        <v/>
      </c>
      <c r="C28" s="109"/>
      <c r="D28" s="109"/>
      <c r="E28" s="109"/>
      <c r="F28" s="109"/>
    </row>
    <row r="29" spans="2:6" x14ac:dyDescent="0.45">
      <c r="B29" s="120" t="str">
        <f t="shared" si="0"/>
        <v/>
      </c>
      <c r="C29" s="109"/>
      <c r="D29" s="109"/>
      <c r="E29" s="109"/>
      <c r="F29" s="109"/>
    </row>
    <row r="30" spans="2:6" x14ac:dyDescent="0.45">
      <c r="B30" s="120" t="str">
        <f t="shared" si="0"/>
        <v/>
      </c>
      <c r="C30" s="109"/>
      <c r="D30" s="109"/>
      <c r="E30" s="109"/>
      <c r="F30" s="109"/>
    </row>
    <row r="31" spans="2:6" x14ac:dyDescent="0.45">
      <c r="B31" s="120" t="str">
        <f t="shared" si="0"/>
        <v/>
      </c>
      <c r="C31" s="109"/>
      <c r="D31" s="109"/>
      <c r="E31" s="109"/>
      <c r="F31" s="109"/>
    </row>
    <row r="32" spans="2:6" x14ac:dyDescent="0.45">
      <c r="B32" s="120" t="str">
        <f t="shared" si="0"/>
        <v/>
      </c>
      <c r="C32" s="109"/>
      <c r="D32" s="109"/>
      <c r="E32" s="109"/>
      <c r="F32" s="109"/>
    </row>
  </sheetData>
  <mergeCells count="1">
    <mergeCell ref="B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1FE9-27E8-4A30-AECD-69A6593007CE}">
  <sheetPr>
    <tabColor theme="5" tint="-0.249977111117893"/>
  </sheetPr>
  <dimension ref="A1:T37"/>
  <sheetViews>
    <sheetView topLeftCell="A9" workbookViewId="0">
      <selection activeCell="K33" sqref="K33"/>
    </sheetView>
  </sheetViews>
  <sheetFormatPr defaultRowHeight="14.25" x14ac:dyDescent="0.45"/>
  <sheetData>
    <row r="1" spans="1:20" x14ac:dyDescent="0.45">
      <c r="A1" s="88"/>
      <c r="E1" s="131">
        <v>1</v>
      </c>
      <c r="F1" s="131">
        <f t="shared" ref="F1:S1" si="0">E1+1</f>
        <v>2</v>
      </c>
      <c r="G1" s="131">
        <f t="shared" si="0"/>
        <v>3</v>
      </c>
      <c r="H1" s="131">
        <f t="shared" si="0"/>
        <v>4</v>
      </c>
      <c r="I1" s="131">
        <f t="shared" si="0"/>
        <v>5</v>
      </c>
      <c r="J1" s="131">
        <f t="shared" si="0"/>
        <v>6</v>
      </c>
      <c r="K1" s="131">
        <f t="shared" si="0"/>
        <v>7</v>
      </c>
      <c r="L1" s="131">
        <f t="shared" si="0"/>
        <v>8</v>
      </c>
      <c r="M1" s="131">
        <f t="shared" si="0"/>
        <v>9</v>
      </c>
      <c r="N1" s="131">
        <f t="shared" si="0"/>
        <v>10</v>
      </c>
      <c r="O1" s="131">
        <f t="shared" si="0"/>
        <v>11</v>
      </c>
      <c r="P1" s="131">
        <f t="shared" si="0"/>
        <v>12</v>
      </c>
      <c r="Q1" s="131">
        <f t="shared" si="0"/>
        <v>13</v>
      </c>
      <c r="R1" s="131">
        <f t="shared" si="0"/>
        <v>14</v>
      </c>
      <c r="S1" s="131">
        <f t="shared" si="0"/>
        <v>15</v>
      </c>
    </row>
    <row r="2" spans="1:20" ht="39.4" x14ac:dyDescent="0.45">
      <c r="A2" s="132" t="s">
        <v>30</v>
      </c>
      <c r="B2" s="133" t="s">
        <v>32</v>
      </c>
      <c r="C2" s="133" t="s">
        <v>33</v>
      </c>
      <c r="D2" s="78" t="s">
        <v>113</v>
      </c>
      <c r="E2" s="79" t="str">
        <f>VLOOKUP(E1,#REF!,3,FALSE)</f>
        <v>ICCS</v>
      </c>
      <c r="F2" s="79" t="str">
        <f>VLOOKUP(F1,#REF!,3,FALSE)</f>
        <v>ISI</v>
      </c>
      <c r="G2" s="79" t="str">
        <f>VLOOKUP(G1,#REF!,3,FALSE)</f>
        <v>UNICA</v>
      </c>
      <c r="H2" s="79" t="str">
        <f>VLOOKUP(H1,#REF!,3,FALSE)</f>
        <v>IMT</v>
      </c>
      <c r="I2" s="79" t="str">
        <f>VLOOKUP(I1,#REF!,3,FALSE)</f>
        <v>SIE</v>
      </c>
      <c r="J2" s="79" t="str">
        <f>VLOOKUP(J1,#REF!,3,FALSE)</f>
        <v>AEGIS</v>
      </c>
      <c r="K2" s="79" t="str">
        <f>VLOOKUP(K1,#REF!,3,FALSE)</f>
        <v>TID</v>
      </c>
      <c r="L2" s="79" t="str">
        <f>VLOOKUP(L1,#REF!,3,FALSE)</f>
        <v>UNIPI</v>
      </c>
      <c r="M2" s="79" t="str">
        <f>VLOOKUP(M1,#REF!,3,FALSE)</f>
        <v>SAP</v>
      </c>
      <c r="N2" s="79" t="str">
        <f>VLOOKUP(N1,#REF!,3,FALSE)</f>
        <v>SLC</v>
      </c>
      <c r="O2" s="79" t="str">
        <f>VLOOKUP(O1,#REF!,3,FALSE)</f>
        <v>PAN</v>
      </c>
      <c r="P2" s="79" t="str">
        <f>VLOOKUP(P1,#REF!,3,FALSE)</f>
        <v>AVI</v>
      </c>
      <c r="Q2" s="79" t="str">
        <f>VLOOKUP(Q1,#REF!,3,FALSE)</f>
        <v>DIE</v>
      </c>
      <c r="R2" s="79" t="str">
        <f>VLOOKUP(R1,#REF!,3,FALSE)</f>
        <v>CBRL</v>
      </c>
      <c r="S2" s="79" t="str">
        <f>VLOOKUP(S1,#REF!,3,FALSE)</f>
        <v>STS</v>
      </c>
      <c r="T2" s="80" t="s">
        <v>114</v>
      </c>
    </row>
    <row r="3" spans="1:20" x14ac:dyDescent="0.45">
      <c r="A3" s="49" t="str">
        <f>Gantt!A6</f>
        <v>WP1</v>
      </c>
      <c r="B3" s="49">
        <f>Gantt!C6</f>
        <v>1</v>
      </c>
      <c r="C3" s="49">
        <f>Gantt!D6</f>
        <v>36</v>
      </c>
      <c r="D3" s="81" t="s">
        <v>115</v>
      </c>
      <c r="E3" s="49" t="str">
        <f t="shared" ref="E3:S3" si="1">IF($D3=E$2,"WPL","")</f>
        <v>WPL</v>
      </c>
      <c r="F3" s="49" t="str">
        <f t="shared" si="1"/>
        <v/>
      </c>
      <c r="G3" s="49" t="str">
        <f t="shared" si="1"/>
        <v/>
      </c>
      <c r="H3" s="49" t="str">
        <f t="shared" si="1"/>
        <v/>
      </c>
      <c r="I3" s="49" t="str">
        <f t="shared" si="1"/>
        <v/>
      </c>
      <c r="J3" s="49" t="str">
        <f t="shared" si="1"/>
        <v/>
      </c>
      <c r="K3" s="49" t="str">
        <f t="shared" si="1"/>
        <v/>
      </c>
      <c r="L3" s="49" t="str">
        <f t="shared" si="1"/>
        <v/>
      </c>
      <c r="M3" s="49" t="str">
        <f t="shared" si="1"/>
        <v/>
      </c>
      <c r="N3" s="49" t="str">
        <f t="shared" si="1"/>
        <v/>
      </c>
      <c r="O3" s="49" t="str">
        <f t="shared" si="1"/>
        <v/>
      </c>
      <c r="P3" s="49" t="str">
        <f t="shared" si="1"/>
        <v/>
      </c>
      <c r="Q3" s="49" t="str">
        <f t="shared" si="1"/>
        <v/>
      </c>
      <c r="R3" s="49" t="str">
        <f t="shared" si="1"/>
        <v/>
      </c>
      <c r="S3" s="49" t="str">
        <f t="shared" si="1"/>
        <v/>
      </c>
      <c r="T3" s="82"/>
    </row>
    <row r="4" spans="1:20" x14ac:dyDescent="0.45">
      <c r="A4" s="86" t="str">
        <f>Gantt!A7</f>
        <v>T1.1</v>
      </c>
      <c r="B4" s="134">
        <f>Gantt!C7</f>
        <v>1</v>
      </c>
      <c r="C4" s="134">
        <f>Gantt!D7</f>
        <v>36</v>
      </c>
      <c r="D4" s="134" t="s">
        <v>115</v>
      </c>
      <c r="E4" s="83">
        <v>15</v>
      </c>
      <c r="F4" s="83">
        <v>1</v>
      </c>
      <c r="G4" s="83">
        <v>1</v>
      </c>
      <c r="H4" s="83">
        <v>1</v>
      </c>
      <c r="I4" s="83">
        <v>1</v>
      </c>
      <c r="J4" s="83">
        <v>1</v>
      </c>
      <c r="K4" s="83">
        <v>1</v>
      </c>
      <c r="L4" s="83">
        <v>1</v>
      </c>
      <c r="M4" s="83">
        <v>1</v>
      </c>
      <c r="N4" s="83">
        <v>1</v>
      </c>
      <c r="O4" s="83">
        <v>1</v>
      </c>
      <c r="P4" s="83">
        <v>1</v>
      </c>
      <c r="Q4" s="83">
        <v>1</v>
      </c>
      <c r="R4" s="83">
        <v>1</v>
      </c>
      <c r="S4" s="83">
        <v>1</v>
      </c>
      <c r="T4" s="135">
        <f t="shared" ref="T4:T8" si="2">SUM(E4:S4)</f>
        <v>29</v>
      </c>
    </row>
    <row r="5" spans="1:20" x14ac:dyDescent="0.45">
      <c r="A5" s="84" t="str">
        <f>Gantt!A8</f>
        <v>T1.2</v>
      </c>
      <c r="B5" s="58">
        <f>Gantt!C8</f>
        <v>1</v>
      </c>
      <c r="C5" s="58">
        <f>Gantt!D8</f>
        <v>36</v>
      </c>
      <c r="D5" s="58" t="s">
        <v>116</v>
      </c>
      <c r="E5" s="84"/>
      <c r="F5" s="84">
        <v>6</v>
      </c>
      <c r="G5" s="84"/>
      <c r="H5" s="84"/>
      <c r="I5" s="84"/>
      <c r="J5" s="84"/>
      <c r="K5" s="84"/>
      <c r="L5" s="84"/>
      <c r="M5" s="84"/>
      <c r="N5" s="84"/>
      <c r="O5" s="84"/>
      <c r="P5" s="84"/>
      <c r="Q5" s="84"/>
      <c r="R5" s="84"/>
      <c r="S5" s="84"/>
      <c r="T5" s="136">
        <f t="shared" si="2"/>
        <v>6</v>
      </c>
    </row>
    <row r="6" spans="1:20" x14ac:dyDescent="0.45">
      <c r="A6" s="84" t="str">
        <f>Gantt!A9</f>
        <v>T1.3</v>
      </c>
      <c r="B6" s="58">
        <f>Gantt!C9</f>
        <v>1</v>
      </c>
      <c r="C6" s="58">
        <f>Gantt!D9</f>
        <v>36</v>
      </c>
      <c r="D6" s="58" t="s">
        <v>115</v>
      </c>
      <c r="E6" s="84">
        <v>4</v>
      </c>
      <c r="F6" s="84"/>
      <c r="G6" s="84"/>
      <c r="H6" s="84"/>
      <c r="I6" s="84"/>
      <c r="J6" s="84"/>
      <c r="K6" s="84">
        <v>1</v>
      </c>
      <c r="L6" s="84"/>
      <c r="M6" s="84"/>
      <c r="N6" s="84"/>
      <c r="O6" s="84"/>
      <c r="P6" s="84"/>
      <c r="Q6" s="84"/>
      <c r="R6" s="84"/>
      <c r="S6" s="84"/>
      <c r="T6" s="136">
        <f t="shared" si="2"/>
        <v>5</v>
      </c>
    </row>
    <row r="7" spans="1:20" x14ac:dyDescent="0.45">
      <c r="A7" s="85" t="str">
        <f>Gantt!A10</f>
        <v>T1.4</v>
      </c>
      <c r="B7" s="137">
        <f>Gantt!C10</f>
        <v>1</v>
      </c>
      <c r="C7" s="137">
        <f>Gantt!D10</f>
        <v>36</v>
      </c>
      <c r="D7" s="137" t="s">
        <v>117</v>
      </c>
      <c r="E7" s="85"/>
      <c r="F7" s="85"/>
      <c r="G7" s="85"/>
      <c r="H7" s="85"/>
      <c r="I7" s="85"/>
      <c r="J7" s="85">
        <v>3</v>
      </c>
      <c r="K7" s="85"/>
      <c r="L7" s="85"/>
      <c r="M7" s="85"/>
      <c r="N7" s="85"/>
      <c r="O7" s="85"/>
      <c r="P7" s="85"/>
      <c r="Q7" s="85"/>
      <c r="R7" s="85"/>
      <c r="S7" s="85"/>
      <c r="T7" s="138">
        <f t="shared" si="2"/>
        <v>3</v>
      </c>
    </row>
    <row r="8" spans="1:20" x14ac:dyDescent="0.45">
      <c r="A8" s="85" t="str">
        <f>Gantt!A11</f>
        <v>T1.5</v>
      </c>
      <c r="B8" s="137">
        <f>Gantt!C11</f>
        <v>1</v>
      </c>
      <c r="C8" s="137">
        <f>Gantt!D11</f>
        <v>36</v>
      </c>
      <c r="D8" s="137" t="s">
        <v>117</v>
      </c>
      <c r="E8" s="85"/>
      <c r="F8" s="85">
        <v>1</v>
      </c>
      <c r="G8" s="85"/>
      <c r="H8" s="85"/>
      <c r="I8" s="85"/>
      <c r="J8" s="85">
        <v>3</v>
      </c>
      <c r="K8" s="85">
        <v>1</v>
      </c>
      <c r="L8" s="85"/>
      <c r="M8" s="85"/>
      <c r="N8" s="85"/>
      <c r="O8" s="85"/>
      <c r="P8" s="85"/>
      <c r="Q8" s="85"/>
      <c r="R8" s="85"/>
      <c r="S8" s="85"/>
      <c r="T8" s="138">
        <f t="shared" si="2"/>
        <v>5</v>
      </c>
    </row>
    <row r="9" spans="1:20" x14ac:dyDescent="0.45">
      <c r="A9" s="49" t="str">
        <f>Gantt!A12</f>
        <v>WP2</v>
      </c>
      <c r="B9" s="49">
        <f>Gantt!C12</f>
        <v>1</v>
      </c>
      <c r="C9" s="49">
        <f>Gantt!D12</f>
        <v>36</v>
      </c>
      <c r="D9" s="81" t="s">
        <v>118</v>
      </c>
      <c r="E9" s="49" t="str">
        <f t="shared" ref="E9:S9" si="3">IF($D9=E$2,"WPL","")</f>
        <v/>
      </c>
      <c r="F9" s="49" t="str">
        <f t="shared" si="3"/>
        <v/>
      </c>
      <c r="G9" s="49" t="str">
        <f t="shared" si="3"/>
        <v/>
      </c>
      <c r="H9" s="49" t="str">
        <f t="shared" si="3"/>
        <v/>
      </c>
      <c r="I9" s="49" t="str">
        <f t="shared" si="3"/>
        <v/>
      </c>
      <c r="J9" s="49" t="str">
        <f t="shared" si="3"/>
        <v/>
      </c>
      <c r="K9" s="49" t="str">
        <f t="shared" si="3"/>
        <v/>
      </c>
      <c r="L9" s="49" t="str">
        <f t="shared" si="3"/>
        <v/>
      </c>
      <c r="M9" s="49" t="str">
        <f t="shared" si="3"/>
        <v/>
      </c>
      <c r="N9" s="49" t="str">
        <f t="shared" si="3"/>
        <v/>
      </c>
      <c r="O9" s="49" t="str">
        <f t="shared" si="3"/>
        <v/>
      </c>
      <c r="P9" s="49" t="str">
        <f t="shared" si="3"/>
        <v/>
      </c>
      <c r="Q9" s="49" t="str">
        <f t="shared" si="3"/>
        <v/>
      </c>
      <c r="R9" s="49" t="str">
        <f t="shared" si="3"/>
        <v>WPL</v>
      </c>
      <c r="S9" s="49" t="str">
        <f t="shared" si="3"/>
        <v/>
      </c>
      <c r="T9" s="82"/>
    </row>
    <row r="10" spans="1:20" x14ac:dyDescent="0.45">
      <c r="A10" s="85" t="str">
        <f>Gantt!A13</f>
        <v>T2.1</v>
      </c>
      <c r="B10" s="137">
        <f>Gantt!C13</f>
        <v>1</v>
      </c>
      <c r="C10" s="137">
        <f>Gantt!D13</f>
        <v>36</v>
      </c>
      <c r="D10" s="137" t="s">
        <v>117</v>
      </c>
      <c r="E10" s="85">
        <v>2</v>
      </c>
      <c r="F10" s="85">
        <v>2</v>
      </c>
      <c r="G10" s="85">
        <v>2</v>
      </c>
      <c r="H10" s="85">
        <v>2</v>
      </c>
      <c r="I10" s="85">
        <v>2</v>
      </c>
      <c r="J10" s="85">
        <v>8</v>
      </c>
      <c r="K10" s="85">
        <v>2</v>
      </c>
      <c r="L10" s="85">
        <v>2</v>
      </c>
      <c r="M10" s="85">
        <v>2</v>
      </c>
      <c r="N10" s="85">
        <v>2</v>
      </c>
      <c r="O10" s="85">
        <v>2</v>
      </c>
      <c r="P10" s="85">
        <v>2</v>
      </c>
      <c r="Q10" s="85">
        <v>2</v>
      </c>
      <c r="R10" s="85">
        <v>2</v>
      </c>
      <c r="S10" s="85">
        <v>2</v>
      </c>
      <c r="T10" s="138">
        <f t="shared" ref="T10:T14" si="4">SUM(E10:S10)</f>
        <v>36</v>
      </c>
    </row>
    <row r="11" spans="1:20" x14ac:dyDescent="0.45">
      <c r="A11" s="84" t="str">
        <f>Gantt!A14</f>
        <v>T2.2</v>
      </c>
      <c r="B11" s="58">
        <f>Gantt!C14</f>
        <v>1</v>
      </c>
      <c r="C11" s="58">
        <f>Gantt!D14</f>
        <v>36</v>
      </c>
      <c r="D11" s="58" t="s">
        <v>118</v>
      </c>
      <c r="E11" s="84"/>
      <c r="F11" s="84">
        <v>1</v>
      </c>
      <c r="G11" s="84"/>
      <c r="H11" s="84"/>
      <c r="I11" s="84">
        <v>2</v>
      </c>
      <c r="J11" s="84"/>
      <c r="K11" s="84">
        <v>1</v>
      </c>
      <c r="L11" s="84"/>
      <c r="M11" s="84">
        <v>1</v>
      </c>
      <c r="N11" s="84"/>
      <c r="O11" s="84">
        <v>2</v>
      </c>
      <c r="P11" s="84"/>
      <c r="Q11" s="84"/>
      <c r="R11" s="84">
        <v>6</v>
      </c>
      <c r="S11" s="84">
        <v>2</v>
      </c>
      <c r="T11" s="136">
        <f t="shared" si="4"/>
        <v>15</v>
      </c>
    </row>
    <row r="12" spans="1:20" x14ac:dyDescent="0.45">
      <c r="A12" s="84" t="str">
        <f>Gantt!A15</f>
        <v>T2.3</v>
      </c>
      <c r="B12" s="58">
        <f>Gantt!C15</f>
        <v>1</v>
      </c>
      <c r="C12" s="58">
        <f>Gantt!D15</f>
        <v>36</v>
      </c>
      <c r="D12" s="58" t="s">
        <v>116</v>
      </c>
      <c r="E12" s="84"/>
      <c r="F12" s="84">
        <v>4</v>
      </c>
      <c r="G12" s="84"/>
      <c r="H12" s="84">
        <v>2</v>
      </c>
      <c r="I12" s="84"/>
      <c r="J12" s="84"/>
      <c r="K12" s="84"/>
      <c r="L12" s="84"/>
      <c r="M12" s="84"/>
      <c r="N12" s="84"/>
      <c r="O12" s="84"/>
      <c r="P12" s="84"/>
      <c r="Q12" s="84">
        <v>2</v>
      </c>
      <c r="R12" s="84">
        <v>2</v>
      </c>
      <c r="S12" s="84">
        <v>2</v>
      </c>
      <c r="T12" s="136">
        <f t="shared" si="4"/>
        <v>12</v>
      </c>
    </row>
    <row r="13" spans="1:20" x14ac:dyDescent="0.45">
      <c r="A13" s="86" t="str">
        <f>Gantt!A16</f>
        <v>T2.4</v>
      </c>
      <c r="B13" s="134">
        <f>Gantt!C16</f>
        <v>8</v>
      </c>
      <c r="C13" s="134">
        <f>Gantt!D16</f>
        <v>36</v>
      </c>
      <c r="D13" s="134" t="s">
        <v>232</v>
      </c>
      <c r="E13" s="86"/>
      <c r="F13" s="86"/>
      <c r="G13" s="86"/>
      <c r="H13" s="86"/>
      <c r="I13" s="86">
        <v>2</v>
      </c>
      <c r="J13" s="86"/>
      <c r="K13" s="86">
        <v>2</v>
      </c>
      <c r="L13" s="86"/>
      <c r="M13" s="86">
        <v>3</v>
      </c>
      <c r="N13" s="86">
        <v>2</v>
      </c>
      <c r="O13" s="86">
        <v>4</v>
      </c>
      <c r="P13" s="86">
        <v>2</v>
      </c>
      <c r="Q13" s="86">
        <v>2</v>
      </c>
      <c r="R13" s="86">
        <v>2</v>
      </c>
      <c r="S13" s="86">
        <v>2</v>
      </c>
      <c r="T13" s="135">
        <f t="shared" si="4"/>
        <v>21</v>
      </c>
    </row>
    <row r="14" spans="1:20" x14ac:dyDescent="0.45">
      <c r="A14" s="86" t="str">
        <f>Gantt!A17</f>
        <v>T2.5</v>
      </c>
      <c r="B14" s="134">
        <f>Gantt!C17</f>
        <v>12</v>
      </c>
      <c r="C14" s="134">
        <f>Gantt!D17</f>
        <v>36</v>
      </c>
      <c r="D14" s="134" t="s">
        <v>119</v>
      </c>
      <c r="E14" s="86"/>
      <c r="F14" s="86"/>
      <c r="G14" s="86"/>
      <c r="H14" s="86"/>
      <c r="I14" s="86">
        <v>3</v>
      </c>
      <c r="J14" s="86"/>
      <c r="K14" s="86"/>
      <c r="L14" s="86"/>
      <c r="M14" s="86">
        <v>1</v>
      </c>
      <c r="N14" s="86"/>
      <c r="O14" s="86">
        <v>2</v>
      </c>
      <c r="P14" s="86"/>
      <c r="Q14" s="86"/>
      <c r="R14" s="86"/>
      <c r="S14" s="86"/>
      <c r="T14" s="135">
        <f t="shared" si="4"/>
        <v>6</v>
      </c>
    </row>
    <row r="15" spans="1:20" x14ac:dyDescent="0.45">
      <c r="A15" s="49" t="str">
        <f>Gantt!A18</f>
        <v>WP3</v>
      </c>
      <c r="B15" s="49">
        <f>Gantt!C18</f>
        <v>1</v>
      </c>
      <c r="C15" s="49">
        <f>Gantt!D18</f>
        <v>12</v>
      </c>
      <c r="D15" s="81" t="s">
        <v>116</v>
      </c>
      <c r="E15" s="49" t="str">
        <f t="shared" ref="E15:S15" si="5">IF($D15=E$2,"WPL","")</f>
        <v/>
      </c>
      <c r="F15" s="49" t="str">
        <f t="shared" si="5"/>
        <v>WPL</v>
      </c>
      <c r="G15" s="49" t="str">
        <f t="shared" si="5"/>
        <v/>
      </c>
      <c r="H15" s="49" t="str">
        <f t="shared" si="5"/>
        <v/>
      </c>
      <c r="I15" s="49" t="str">
        <f t="shared" si="5"/>
        <v/>
      </c>
      <c r="J15" s="49" t="str">
        <f t="shared" si="5"/>
        <v/>
      </c>
      <c r="K15" s="49" t="str">
        <f t="shared" si="5"/>
        <v/>
      </c>
      <c r="L15" s="49" t="str">
        <f t="shared" si="5"/>
        <v/>
      </c>
      <c r="M15" s="49" t="str">
        <f t="shared" si="5"/>
        <v/>
      </c>
      <c r="N15" s="49" t="str">
        <f t="shared" si="5"/>
        <v/>
      </c>
      <c r="O15" s="49" t="str">
        <f t="shared" si="5"/>
        <v/>
      </c>
      <c r="P15" s="49" t="str">
        <f t="shared" si="5"/>
        <v/>
      </c>
      <c r="Q15" s="49" t="str">
        <f t="shared" si="5"/>
        <v/>
      </c>
      <c r="R15" s="49" t="str">
        <f t="shared" si="5"/>
        <v/>
      </c>
      <c r="S15" s="49" t="str">
        <f t="shared" si="5"/>
        <v/>
      </c>
      <c r="T15" s="82"/>
    </row>
    <row r="16" spans="1:20" x14ac:dyDescent="0.45">
      <c r="A16" s="86" t="str">
        <f>Gantt!A19</f>
        <v>T3.1</v>
      </c>
      <c r="B16" s="134">
        <f>Gantt!C19</f>
        <v>1</v>
      </c>
      <c r="C16" s="134">
        <f>Gantt!D19</f>
        <v>12</v>
      </c>
      <c r="D16" s="139" t="s">
        <v>198</v>
      </c>
      <c r="E16" s="83"/>
      <c r="F16" s="83">
        <v>2</v>
      </c>
      <c r="G16" s="83">
        <v>2</v>
      </c>
      <c r="H16" s="83">
        <v>1</v>
      </c>
      <c r="I16" s="83"/>
      <c r="J16" s="83">
        <v>1</v>
      </c>
      <c r="K16" s="83">
        <v>2</v>
      </c>
      <c r="L16" s="83">
        <v>1</v>
      </c>
      <c r="M16" s="83">
        <v>4</v>
      </c>
      <c r="N16" s="83">
        <v>1</v>
      </c>
      <c r="O16" s="83"/>
      <c r="P16" s="83"/>
      <c r="Q16" s="83">
        <v>1</v>
      </c>
      <c r="R16" s="83">
        <v>1</v>
      </c>
      <c r="S16" s="83"/>
      <c r="T16" s="135">
        <f t="shared" ref="T16:T19" si="6">SUM(E16:S16)</f>
        <v>16</v>
      </c>
    </row>
    <row r="17" spans="1:20" x14ac:dyDescent="0.45">
      <c r="A17" s="86" t="str">
        <f>Gantt!A20</f>
        <v>T3.2</v>
      </c>
      <c r="B17" s="134">
        <f>Gantt!C20</f>
        <v>1</v>
      </c>
      <c r="C17" s="134">
        <f>Gantt!D20</f>
        <v>12</v>
      </c>
      <c r="D17" s="139" t="s">
        <v>232</v>
      </c>
      <c r="E17" s="86"/>
      <c r="F17" s="86"/>
      <c r="G17" s="86"/>
      <c r="H17" s="86"/>
      <c r="I17" s="86">
        <v>3</v>
      </c>
      <c r="J17" s="86">
        <v>1</v>
      </c>
      <c r="K17" s="86"/>
      <c r="L17" s="86"/>
      <c r="M17" s="86">
        <v>1</v>
      </c>
      <c r="N17" s="86">
        <v>1</v>
      </c>
      <c r="O17" s="86">
        <v>4</v>
      </c>
      <c r="P17" s="86">
        <v>3</v>
      </c>
      <c r="Q17" s="86">
        <v>1</v>
      </c>
      <c r="R17" s="86">
        <v>1</v>
      </c>
      <c r="S17" s="86">
        <v>2</v>
      </c>
      <c r="T17" s="135">
        <f t="shared" si="6"/>
        <v>17</v>
      </c>
    </row>
    <row r="18" spans="1:20" x14ac:dyDescent="0.45">
      <c r="A18" s="86" t="str">
        <f>Gantt!A21</f>
        <v>T3.3</v>
      </c>
      <c r="B18" s="134">
        <f>Gantt!C21</f>
        <v>1</v>
      </c>
      <c r="C18" s="134">
        <f>Gantt!D21</f>
        <v>12</v>
      </c>
      <c r="D18" s="139" t="s">
        <v>116</v>
      </c>
      <c r="E18" s="86">
        <v>2</v>
      </c>
      <c r="F18" s="86">
        <v>6</v>
      </c>
      <c r="G18" s="86">
        <v>2</v>
      </c>
      <c r="H18" s="86">
        <v>2</v>
      </c>
      <c r="I18" s="86"/>
      <c r="J18" s="86">
        <v>2</v>
      </c>
      <c r="K18" s="86"/>
      <c r="L18" s="86">
        <v>2</v>
      </c>
      <c r="M18" s="86">
        <v>2</v>
      </c>
      <c r="N18" s="86"/>
      <c r="O18" s="86"/>
      <c r="P18" s="86"/>
      <c r="Q18" s="86"/>
      <c r="R18" s="86">
        <v>2</v>
      </c>
      <c r="S18" s="86"/>
      <c r="T18" s="135">
        <f t="shared" si="6"/>
        <v>20</v>
      </c>
    </row>
    <row r="19" spans="1:20" x14ac:dyDescent="0.45">
      <c r="A19" s="86" t="str">
        <f>Gantt!A22</f>
        <v>T3.4</v>
      </c>
      <c r="B19" s="134">
        <f>Gantt!C22</f>
        <v>1</v>
      </c>
      <c r="C19" s="134">
        <f>Gantt!D22</f>
        <v>12</v>
      </c>
      <c r="D19" s="139" t="s">
        <v>120</v>
      </c>
      <c r="E19" s="86"/>
      <c r="F19" s="86">
        <v>2</v>
      </c>
      <c r="G19" s="86"/>
      <c r="H19" s="86"/>
      <c r="I19" s="86"/>
      <c r="J19" s="86">
        <v>2</v>
      </c>
      <c r="K19" s="86"/>
      <c r="L19" s="86"/>
      <c r="M19" s="86"/>
      <c r="N19" s="86">
        <v>2</v>
      </c>
      <c r="O19" s="86"/>
      <c r="P19" s="86"/>
      <c r="Q19" s="86">
        <v>4</v>
      </c>
      <c r="R19" s="86"/>
      <c r="S19" s="86"/>
      <c r="T19" s="135">
        <f t="shared" si="6"/>
        <v>10</v>
      </c>
    </row>
    <row r="20" spans="1:20" x14ac:dyDescent="0.45">
      <c r="A20" s="49" t="str">
        <f>Gantt!A23</f>
        <v>WP4</v>
      </c>
      <c r="B20" s="49">
        <f>Gantt!C23</f>
        <v>8</v>
      </c>
      <c r="C20" s="49">
        <f>Gantt!D23</f>
        <v>33</v>
      </c>
      <c r="D20" s="81" t="s">
        <v>121</v>
      </c>
      <c r="E20" s="49" t="str">
        <f t="shared" ref="E20:S20" si="7">IF($D20=E$2,"WPL","")</f>
        <v/>
      </c>
      <c r="F20" s="49" t="str">
        <f t="shared" si="7"/>
        <v/>
      </c>
      <c r="G20" s="49" t="str">
        <f t="shared" si="7"/>
        <v/>
      </c>
      <c r="H20" s="49" t="str">
        <f t="shared" si="7"/>
        <v/>
      </c>
      <c r="I20" s="49" t="str">
        <f t="shared" si="7"/>
        <v/>
      </c>
      <c r="J20" s="49" t="str">
        <f t="shared" si="7"/>
        <v/>
      </c>
      <c r="K20" s="49" t="str">
        <f t="shared" si="7"/>
        <v>WPL</v>
      </c>
      <c r="L20" s="49" t="str">
        <f t="shared" si="7"/>
        <v/>
      </c>
      <c r="M20" s="49" t="str">
        <f t="shared" si="7"/>
        <v/>
      </c>
      <c r="N20" s="49" t="str">
        <f t="shared" si="7"/>
        <v/>
      </c>
      <c r="O20" s="49" t="str">
        <f t="shared" si="7"/>
        <v/>
      </c>
      <c r="P20" s="49" t="str">
        <f t="shared" si="7"/>
        <v/>
      </c>
      <c r="Q20" s="49" t="str">
        <f t="shared" si="7"/>
        <v/>
      </c>
      <c r="R20" s="49" t="str">
        <f t="shared" si="7"/>
        <v/>
      </c>
      <c r="S20" s="49" t="str">
        <f t="shared" si="7"/>
        <v/>
      </c>
      <c r="T20" s="82"/>
    </row>
    <row r="21" spans="1:20" x14ac:dyDescent="0.45">
      <c r="A21" s="84" t="str">
        <f>Gantt!A24</f>
        <v>T4.1</v>
      </c>
      <c r="B21" s="58">
        <f>Gantt!C24</f>
        <v>8</v>
      </c>
      <c r="C21" s="58">
        <f>Gantt!D24</f>
        <v>33</v>
      </c>
      <c r="D21" s="58" t="s">
        <v>122</v>
      </c>
      <c r="E21" s="87"/>
      <c r="F21" s="87">
        <v>6</v>
      </c>
      <c r="G21" s="87"/>
      <c r="H21" s="87">
        <v>8</v>
      </c>
      <c r="I21" s="87">
        <v>3</v>
      </c>
      <c r="J21" s="87"/>
      <c r="K21" s="87"/>
      <c r="L21" s="87"/>
      <c r="M21" s="87">
        <v>6</v>
      </c>
      <c r="N21" s="87"/>
      <c r="O21" s="87">
        <v>2</v>
      </c>
      <c r="P21" s="87">
        <v>18</v>
      </c>
      <c r="Q21" s="87"/>
      <c r="R21" s="87"/>
      <c r="S21" s="87"/>
      <c r="T21" s="136">
        <f t="shared" ref="T21:T25" si="8">SUM(E21:S21)</f>
        <v>43</v>
      </c>
    </row>
    <row r="22" spans="1:20" x14ac:dyDescent="0.45">
      <c r="A22" s="84" t="str">
        <f>Gantt!A25</f>
        <v>T4.2</v>
      </c>
      <c r="B22" s="58">
        <f>Gantt!C25</f>
        <v>8</v>
      </c>
      <c r="C22" s="58">
        <f>Gantt!D25</f>
        <v>33</v>
      </c>
      <c r="D22" s="88" t="s">
        <v>123</v>
      </c>
      <c r="E22" s="84">
        <v>9</v>
      </c>
      <c r="F22" s="84">
        <v>4</v>
      </c>
      <c r="G22" s="84">
        <v>18</v>
      </c>
      <c r="H22" s="84"/>
      <c r="I22" s="84"/>
      <c r="J22" s="84"/>
      <c r="K22" s="84"/>
      <c r="L22" s="84">
        <v>10</v>
      </c>
      <c r="M22" s="84">
        <v>12</v>
      </c>
      <c r="N22" s="84"/>
      <c r="O22" s="84">
        <v>2</v>
      </c>
      <c r="P22" s="84"/>
      <c r="Q22" s="84"/>
      <c r="R22" s="84"/>
      <c r="S22" s="84"/>
      <c r="T22" s="136">
        <f t="shared" si="8"/>
        <v>55</v>
      </c>
    </row>
    <row r="23" spans="1:20" x14ac:dyDescent="0.45">
      <c r="A23" s="84" t="str">
        <f>Gantt!A26</f>
        <v>T4.3</v>
      </c>
      <c r="B23" s="58">
        <f>Gantt!C26</f>
        <v>8</v>
      </c>
      <c r="C23" s="58">
        <f>Gantt!D26</f>
        <v>33</v>
      </c>
      <c r="D23" s="58" t="s">
        <v>121</v>
      </c>
      <c r="E23" s="84">
        <v>9</v>
      </c>
      <c r="F23" s="84">
        <v>4</v>
      </c>
      <c r="G23" s="84">
        <v>6</v>
      </c>
      <c r="H23" s="84"/>
      <c r="I23" s="84">
        <v>3</v>
      </c>
      <c r="J23" s="84"/>
      <c r="K23" s="84">
        <v>12</v>
      </c>
      <c r="L23" s="84"/>
      <c r="M23" s="84"/>
      <c r="N23" s="84"/>
      <c r="O23" s="84">
        <v>2</v>
      </c>
      <c r="P23" s="84"/>
      <c r="Q23" s="84"/>
      <c r="R23" s="84"/>
      <c r="S23" s="84"/>
      <c r="T23" s="136">
        <f t="shared" si="8"/>
        <v>36</v>
      </c>
    </row>
    <row r="24" spans="1:20" x14ac:dyDescent="0.45">
      <c r="A24" s="84" t="str">
        <f>Gantt!A27</f>
        <v>T4.4</v>
      </c>
      <c r="B24" s="58">
        <f>Gantt!C27</f>
        <v>8</v>
      </c>
      <c r="C24" s="58">
        <f>Gantt!D27</f>
        <v>33</v>
      </c>
      <c r="D24" s="58" t="s">
        <v>121</v>
      </c>
      <c r="E24" s="84"/>
      <c r="F24" s="84"/>
      <c r="G24" s="84"/>
      <c r="H24" s="84">
        <v>8</v>
      </c>
      <c r="I24" s="84"/>
      <c r="J24" s="84"/>
      <c r="K24" s="84">
        <v>21</v>
      </c>
      <c r="L24" s="84"/>
      <c r="M24" s="84"/>
      <c r="N24" s="84"/>
      <c r="O24" s="84"/>
      <c r="P24" s="84"/>
      <c r="Q24" s="84"/>
      <c r="R24" s="84"/>
      <c r="S24" s="84"/>
      <c r="T24" s="136">
        <f t="shared" si="8"/>
        <v>29</v>
      </c>
    </row>
    <row r="25" spans="1:20" x14ac:dyDescent="0.45">
      <c r="A25" s="84" t="str">
        <f>Gantt!A28</f>
        <v>T4.5</v>
      </c>
      <c r="B25" s="58">
        <f>Gantt!C28</f>
        <v>8</v>
      </c>
      <c r="C25" s="58">
        <f>Gantt!D28</f>
        <v>33</v>
      </c>
      <c r="D25" s="58" t="s">
        <v>124</v>
      </c>
      <c r="E25" s="84"/>
      <c r="F25" s="84"/>
      <c r="G25" s="84">
        <v>9</v>
      </c>
      <c r="H25" s="84"/>
      <c r="I25" s="84">
        <v>4</v>
      </c>
      <c r="J25" s="84"/>
      <c r="K25" s="84"/>
      <c r="L25" s="84">
        <v>18</v>
      </c>
      <c r="M25" s="84">
        <v>6</v>
      </c>
      <c r="N25" s="84"/>
      <c r="O25" s="84"/>
      <c r="P25" s="84">
        <v>6</v>
      </c>
      <c r="Q25" s="84">
        <v>4</v>
      </c>
      <c r="R25" s="84"/>
      <c r="S25" s="84"/>
      <c r="T25" s="136">
        <f t="shared" si="8"/>
        <v>47</v>
      </c>
    </row>
    <row r="26" spans="1:20" x14ac:dyDescent="0.45">
      <c r="A26" s="49" t="str">
        <f>Gantt!A29</f>
        <v>WP5</v>
      </c>
      <c r="B26" s="49">
        <f>Gantt!C29</f>
        <v>8</v>
      </c>
      <c r="C26" s="49">
        <f>Gantt!D29</f>
        <v>33</v>
      </c>
      <c r="D26" s="81" t="s">
        <v>120</v>
      </c>
      <c r="E26" s="49" t="str">
        <f t="shared" ref="E26:T26" si="9">IF($D26=E$2,"WPL","")</f>
        <v/>
      </c>
      <c r="F26" s="49" t="str">
        <f t="shared" si="9"/>
        <v/>
      </c>
      <c r="G26" s="49" t="str">
        <f t="shared" si="9"/>
        <v/>
      </c>
      <c r="H26" s="49" t="str">
        <f t="shared" si="9"/>
        <v/>
      </c>
      <c r="I26" s="49" t="str">
        <f t="shared" si="9"/>
        <v/>
      </c>
      <c r="J26" s="49" t="str">
        <f t="shared" si="9"/>
        <v/>
      </c>
      <c r="K26" s="49" t="str">
        <f t="shared" si="9"/>
        <v/>
      </c>
      <c r="L26" s="49" t="str">
        <f t="shared" si="9"/>
        <v/>
      </c>
      <c r="M26" s="49" t="str">
        <f t="shared" si="9"/>
        <v/>
      </c>
      <c r="N26" s="49" t="str">
        <f t="shared" si="9"/>
        <v/>
      </c>
      <c r="O26" s="49" t="str">
        <f t="shared" si="9"/>
        <v/>
      </c>
      <c r="P26" s="49" t="str">
        <f t="shared" si="9"/>
        <v/>
      </c>
      <c r="Q26" s="49" t="str">
        <f t="shared" si="9"/>
        <v>WPL</v>
      </c>
      <c r="R26" s="49" t="str">
        <f t="shared" si="9"/>
        <v/>
      </c>
      <c r="S26" s="49" t="str">
        <f t="shared" si="9"/>
        <v/>
      </c>
      <c r="T26" s="49" t="str">
        <f t="shared" si="9"/>
        <v/>
      </c>
    </row>
    <row r="27" spans="1:20" x14ac:dyDescent="0.45">
      <c r="A27" s="86" t="str">
        <f>Gantt!A30</f>
        <v>T5.1</v>
      </c>
      <c r="B27" s="134">
        <f>Gantt!C30</f>
        <v>8</v>
      </c>
      <c r="C27" s="134">
        <f>Gantt!D30</f>
        <v>33</v>
      </c>
      <c r="D27" s="134" t="s">
        <v>116</v>
      </c>
      <c r="E27" s="83"/>
      <c r="F27" s="83">
        <v>12</v>
      </c>
      <c r="G27" s="83"/>
      <c r="H27" s="83"/>
      <c r="I27" s="83"/>
      <c r="J27" s="83">
        <v>2</v>
      </c>
      <c r="K27" s="83"/>
      <c r="L27" s="83">
        <v>9</v>
      </c>
      <c r="M27" s="83"/>
      <c r="N27" s="83"/>
      <c r="O27" s="83"/>
      <c r="P27" s="83"/>
      <c r="Q27" s="83"/>
      <c r="R27" s="83"/>
      <c r="S27" s="83">
        <v>5</v>
      </c>
      <c r="T27" s="135">
        <f t="shared" ref="T27:T31" si="10">SUM(E27:S27)</f>
        <v>28</v>
      </c>
    </row>
    <row r="28" spans="1:20" x14ac:dyDescent="0.45">
      <c r="A28" s="86" t="str">
        <f>Gantt!A31</f>
        <v>T5.2</v>
      </c>
      <c r="B28" s="134">
        <f>Gantt!C31</f>
        <v>8</v>
      </c>
      <c r="C28" s="134">
        <f>Gantt!D31</f>
        <v>33</v>
      </c>
      <c r="D28" s="134" t="s">
        <v>120</v>
      </c>
      <c r="E28" s="86">
        <v>8</v>
      </c>
      <c r="F28" s="86">
        <v>2</v>
      </c>
      <c r="G28" s="86"/>
      <c r="H28" s="86"/>
      <c r="I28" s="86"/>
      <c r="J28" s="86">
        <v>8</v>
      </c>
      <c r="K28" s="86"/>
      <c r="L28" s="86"/>
      <c r="M28" s="86"/>
      <c r="N28" s="86"/>
      <c r="O28" s="86"/>
      <c r="P28" s="86">
        <v>6</v>
      </c>
      <c r="Q28" s="86">
        <v>12</v>
      </c>
      <c r="R28" s="86"/>
      <c r="S28" s="86"/>
      <c r="T28" s="135">
        <f t="shared" si="10"/>
        <v>36</v>
      </c>
    </row>
    <row r="29" spans="1:20" x14ac:dyDescent="0.45">
      <c r="A29" s="84" t="str">
        <f>Gantt!A32</f>
        <v>T5.3</v>
      </c>
      <c r="B29" s="58">
        <f>Gantt!C32</f>
        <v>8</v>
      </c>
      <c r="C29" s="58">
        <f>Gantt!D32</f>
        <v>33</v>
      </c>
      <c r="D29" s="58" t="s">
        <v>125</v>
      </c>
      <c r="E29" s="84">
        <v>8</v>
      </c>
      <c r="F29" s="84">
        <v>2</v>
      </c>
      <c r="G29" s="84"/>
      <c r="H29" s="84"/>
      <c r="I29" s="84"/>
      <c r="J29" s="84"/>
      <c r="K29" s="84"/>
      <c r="L29" s="84"/>
      <c r="M29" s="84"/>
      <c r="N29" s="84">
        <v>16</v>
      </c>
      <c r="O29" s="84"/>
      <c r="P29" s="84"/>
      <c r="Q29" s="84">
        <v>4</v>
      </c>
      <c r="R29" s="84"/>
      <c r="S29" s="84"/>
      <c r="T29" s="136">
        <f t="shared" si="10"/>
        <v>30</v>
      </c>
    </row>
    <row r="30" spans="1:20" x14ac:dyDescent="0.45">
      <c r="A30" s="84" t="str">
        <f>Gantt!A33</f>
        <v>T5.4</v>
      </c>
      <c r="B30" s="58">
        <f>Gantt!C33</f>
        <v>8</v>
      </c>
      <c r="C30" s="58">
        <f>Gantt!D33</f>
        <v>33</v>
      </c>
      <c r="D30" s="58" t="s">
        <v>118</v>
      </c>
      <c r="E30" s="84"/>
      <c r="F30" s="84">
        <v>5</v>
      </c>
      <c r="G30" s="84"/>
      <c r="H30" s="84"/>
      <c r="I30" s="84"/>
      <c r="J30" s="84"/>
      <c r="K30" s="84"/>
      <c r="L30" s="84">
        <v>9</v>
      </c>
      <c r="M30" s="84"/>
      <c r="N30" s="84"/>
      <c r="O30" s="84"/>
      <c r="P30" s="84"/>
      <c r="Q30" s="84">
        <v>4</v>
      </c>
      <c r="R30" s="84">
        <v>14</v>
      </c>
      <c r="S30" s="84">
        <v>5</v>
      </c>
      <c r="T30" s="136">
        <f t="shared" si="10"/>
        <v>37</v>
      </c>
    </row>
    <row r="31" spans="1:20" x14ac:dyDescent="0.45">
      <c r="A31" s="86" t="str">
        <f>Gantt!A34</f>
        <v>T5.5</v>
      </c>
      <c r="B31" s="134">
        <f>Gantt!C34</f>
        <v>8</v>
      </c>
      <c r="C31" s="134">
        <f>Gantt!D34</f>
        <v>33</v>
      </c>
      <c r="D31" s="134" t="s">
        <v>121</v>
      </c>
      <c r="E31" s="86"/>
      <c r="F31" s="86"/>
      <c r="G31" s="86">
        <v>8</v>
      </c>
      <c r="H31" s="86"/>
      <c r="I31" s="86"/>
      <c r="J31" s="86">
        <v>2</v>
      </c>
      <c r="K31" s="86">
        <v>20</v>
      </c>
      <c r="L31" s="86"/>
      <c r="M31" s="86"/>
      <c r="N31" s="86"/>
      <c r="O31" s="86"/>
      <c r="P31" s="86"/>
      <c r="Q31" s="86"/>
      <c r="R31" s="86"/>
      <c r="S31" s="86"/>
      <c r="T31" s="135">
        <f t="shared" si="10"/>
        <v>30</v>
      </c>
    </row>
    <row r="32" spans="1:20" x14ac:dyDescent="0.45">
      <c r="A32" s="49" t="str">
        <f>Gantt!A35</f>
        <v>WP6</v>
      </c>
      <c r="B32" s="49">
        <f>Gantt!C35</f>
        <v>6</v>
      </c>
      <c r="C32" s="49">
        <f>Gantt!D35</f>
        <v>36</v>
      </c>
      <c r="D32" s="81" t="s">
        <v>122</v>
      </c>
      <c r="E32" s="49" t="str">
        <f t="shared" ref="E32:T32" si="11">IF($D32=E$2,"WPL","")</f>
        <v/>
      </c>
      <c r="F32" s="49" t="str">
        <f t="shared" si="11"/>
        <v/>
      </c>
      <c r="G32" s="49" t="str">
        <f t="shared" si="11"/>
        <v/>
      </c>
      <c r="H32" s="49" t="str">
        <f t="shared" si="11"/>
        <v/>
      </c>
      <c r="I32" s="49" t="str">
        <f t="shared" si="11"/>
        <v/>
      </c>
      <c r="J32" s="49" t="str">
        <f t="shared" si="11"/>
        <v/>
      </c>
      <c r="K32" s="49" t="str">
        <f t="shared" si="11"/>
        <v/>
      </c>
      <c r="L32" s="49" t="str">
        <f t="shared" si="11"/>
        <v/>
      </c>
      <c r="M32" s="49" t="str">
        <f t="shared" si="11"/>
        <v/>
      </c>
      <c r="N32" s="49" t="str">
        <f t="shared" si="11"/>
        <v/>
      </c>
      <c r="O32" s="49" t="str">
        <f t="shared" si="11"/>
        <v/>
      </c>
      <c r="P32" s="49" t="str">
        <f t="shared" si="11"/>
        <v>WPL</v>
      </c>
      <c r="Q32" s="49" t="str">
        <f t="shared" si="11"/>
        <v/>
      </c>
      <c r="R32" s="49" t="str">
        <f t="shared" si="11"/>
        <v/>
      </c>
      <c r="S32" s="49" t="str">
        <f t="shared" si="11"/>
        <v/>
      </c>
      <c r="T32" s="49" t="str">
        <f t="shared" si="11"/>
        <v/>
      </c>
    </row>
    <row r="33" spans="1:20" x14ac:dyDescent="0.45">
      <c r="A33" s="85" t="str">
        <f>Gantt!A36</f>
        <v>T6.1</v>
      </c>
      <c r="B33" s="137">
        <f>Gantt!C36</f>
        <v>19</v>
      </c>
      <c r="C33" s="137">
        <f>Gantt!D36</f>
        <v>33</v>
      </c>
      <c r="D33" s="137" t="s">
        <v>117</v>
      </c>
      <c r="E33" s="140">
        <v>2</v>
      </c>
      <c r="F33" s="140">
        <v>3</v>
      </c>
      <c r="G33" s="140">
        <v>2</v>
      </c>
      <c r="H33" s="140">
        <v>2</v>
      </c>
      <c r="I33" s="140">
        <v>5</v>
      </c>
      <c r="J33" s="140">
        <v>8</v>
      </c>
      <c r="K33" s="140">
        <v>2</v>
      </c>
      <c r="L33" s="140">
        <v>2</v>
      </c>
      <c r="M33" s="140">
        <v>2</v>
      </c>
      <c r="N33" s="140">
        <v>2</v>
      </c>
      <c r="O33" s="140">
        <v>1</v>
      </c>
      <c r="P33" s="140">
        <v>2</v>
      </c>
      <c r="Q33" s="140">
        <v>2</v>
      </c>
      <c r="R33" s="140">
        <v>2</v>
      </c>
      <c r="S33" s="140">
        <v>2</v>
      </c>
      <c r="T33" s="138">
        <f t="shared" ref="T33:T36" si="12">SUM(E33:S33)</f>
        <v>39</v>
      </c>
    </row>
    <row r="34" spans="1:20" x14ac:dyDescent="0.45">
      <c r="A34" s="84" t="str">
        <f>Gantt!A37</f>
        <v>T6.2</v>
      </c>
      <c r="B34" s="58">
        <f>Gantt!C37</f>
        <v>6</v>
      </c>
      <c r="C34" s="58">
        <f>Gantt!D37</f>
        <v>24</v>
      </c>
      <c r="D34" s="58" t="s">
        <v>122</v>
      </c>
      <c r="E34" s="84">
        <v>8</v>
      </c>
      <c r="F34" s="84"/>
      <c r="G34" s="84"/>
      <c r="H34" s="84">
        <v>6</v>
      </c>
      <c r="I34" s="84">
        <v>5</v>
      </c>
      <c r="J34" s="84"/>
      <c r="K34" s="84"/>
      <c r="L34" s="84"/>
      <c r="M34" s="84"/>
      <c r="N34" s="84"/>
      <c r="O34" s="84"/>
      <c r="P34" s="84">
        <v>9</v>
      </c>
      <c r="Q34" s="84"/>
      <c r="R34" s="84"/>
      <c r="S34" s="84"/>
      <c r="T34" s="136">
        <f t="shared" si="12"/>
        <v>28</v>
      </c>
    </row>
    <row r="35" spans="1:20" x14ac:dyDescent="0.45">
      <c r="A35" s="86" t="str">
        <f>Gantt!A38</f>
        <v>T6.3</v>
      </c>
      <c r="B35" s="134">
        <f>Gantt!C38</f>
        <v>24</v>
      </c>
      <c r="C35" s="134">
        <f>Gantt!D38</f>
        <v>34</v>
      </c>
      <c r="D35" s="134" t="s">
        <v>119</v>
      </c>
      <c r="E35" s="86">
        <v>2</v>
      </c>
      <c r="F35" s="86">
        <v>2</v>
      </c>
      <c r="G35" s="86">
        <v>2</v>
      </c>
      <c r="H35" s="86">
        <v>2</v>
      </c>
      <c r="I35" s="86">
        <v>5</v>
      </c>
      <c r="J35" s="86">
        <v>2</v>
      </c>
      <c r="K35" s="86">
        <v>2</v>
      </c>
      <c r="L35" s="86">
        <v>2</v>
      </c>
      <c r="M35" s="86">
        <v>2</v>
      </c>
      <c r="N35" s="86">
        <v>2</v>
      </c>
      <c r="O35" s="86">
        <v>2</v>
      </c>
      <c r="P35" s="86">
        <v>2</v>
      </c>
      <c r="Q35" s="86">
        <v>2</v>
      </c>
      <c r="R35" s="86">
        <v>2</v>
      </c>
      <c r="S35" s="86">
        <v>2</v>
      </c>
      <c r="T35" s="135">
        <f t="shared" si="12"/>
        <v>33</v>
      </c>
    </row>
    <row r="36" spans="1:20" x14ac:dyDescent="0.45">
      <c r="A36" s="84" t="str">
        <f>Gantt!A39</f>
        <v>T6.4</v>
      </c>
      <c r="B36" s="58">
        <f>Gantt!C39</f>
        <v>30</v>
      </c>
      <c r="C36" s="58">
        <f>Gantt!D39</f>
        <v>36</v>
      </c>
      <c r="D36" s="58" t="s">
        <v>125</v>
      </c>
      <c r="E36" s="84"/>
      <c r="F36" s="84"/>
      <c r="G36" s="84"/>
      <c r="H36" s="84"/>
      <c r="I36" s="84"/>
      <c r="J36" s="84"/>
      <c r="K36" s="84"/>
      <c r="L36" s="84"/>
      <c r="M36" s="84"/>
      <c r="N36" s="84">
        <v>5</v>
      </c>
      <c r="O36" s="84">
        <v>1</v>
      </c>
      <c r="P36" s="84">
        <v>4</v>
      </c>
      <c r="Q36" s="84">
        <v>3</v>
      </c>
      <c r="R36" s="84"/>
      <c r="S36" s="84">
        <v>1</v>
      </c>
      <c r="T36" s="136">
        <f t="shared" si="12"/>
        <v>14</v>
      </c>
    </row>
    <row r="37" spans="1:20" ht="16.149999999999999" thickBot="1" x14ac:dyDescent="0.5">
      <c r="A37" s="141"/>
      <c r="B37" s="142"/>
      <c r="C37" s="143"/>
      <c r="D37" s="89"/>
      <c r="E37" s="90">
        <f t="shared" ref="E37:S37" si="13">SUM(E3:E36)</f>
        <v>69</v>
      </c>
      <c r="F37" s="90">
        <f t="shared" si="13"/>
        <v>65</v>
      </c>
      <c r="G37" s="90">
        <f t="shared" si="13"/>
        <v>52</v>
      </c>
      <c r="H37" s="90">
        <f t="shared" si="13"/>
        <v>34</v>
      </c>
      <c r="I37" s="90">
        <f t="shared" si="13"/>
        <v>38</v>
      </c>
      <c r="J37" s="90">
        <f t="shared" si="13"/>
        <v>43</v>
      </c>
      <c r="K37" s="90">
        <f t="shared" si="13"/>
        <v>67</v>
      </c>
      <c r="L37" s="90">
        <f t="shared" si="13"/>
        <v>56</v>
      </c>
      <c r="M37" s="90">
        <f t="shared" si="13"/>
        <v>43</v>
      </c>
      <c r="N37" s="90">
        <f t="shared" si="13"/>
        <v>34</v>
      </c>
      <c r="O37" s="90">
        <f t="shared" si="13"/>
        <v>25</v>
      </c>
      <c r="P37" s="90">
        <f t="shared" si="13"/>
        <v>55</v>
      </c>
      <c r="Q37" s="90">
        <f t="shared" si="13"/>
        <v>44</v>
      </c>
      <c r="R37" s="90">
        <f t="shared" si="13"/>
        <v>35</v>
      </c>
      <c r="S37" s="90">
        <f t="shared" si="13"/>
        <v>26</v>
      </c>
      <c r="T37" s="91">
        <f>SUM(T4:T36)</f>
        <v>686</v>
      </c>
    </row>
  </sheetData>
  <conditionalFormatting sqref="D3:D36">
    <cfRule type="containsBlanks" dxfId="1" priority="1">
      <formula>LEN(TRIM(D3))=0</formula>
    </cfRule>
  </conditionalFormatting>
  <conditionalFormatting sqref="E4:S8 E10:S14 E16:S19 E21:S25 E27:S31 E33:S36">
    <cfRule type="expression" dxfId="0" priority="2">
      <formula>IF($D4=E$2,1,0)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1F97-64D3-413F-8D2C-C4580AE0011C}">
  <dimension ref="B3:F11"/>
  <sheetViews>
    <sheetView workbookViewId="0">
      <selection activeCell="F6" sqref="F6"/>
    </sheetView>
  </sheetViews>
  <sheetFormatPr defaultRowHeight="14.25" x14ac:dyDescent="0.45"/>
  <cols>
    <col min="2" max="2" width="19.46484375" customWidth="1"/>
    <col min="3" max="3" width="14.86328125" customWidth="1"/>
    <col min="4" max="4" width="14.46484375" customWidth="1"/>
  </cols>
  <sheetData>
    <row r="3" spans="2:6" x14ac:dyDescent="0.45">
      <c r="B3" s="94" t="s">
        <v>149</v>
      </c>
      <c r="C3" s="94" t="s">
        <v>150</v>
      </c>
      <c r="D3" s="94" t="s">
        <v>151</v>
      </c>
    </row>
    <row r="4" spans="2:6" x14ac:dyDescent="0.45">
      <c r="B4" s="93" t="s">
        <v>152</v>
      </c>
      <c r="C4" s="93" t="s">
        <v>153</v>
      </c>
      <c r="D4" s="93" t="s">
        <v>142</v>
      </c>
      <c r="F4" s="93" t="s">
        <v>224</v>
      </c>
    </row>
    <row r="5" spans="2:6" x14ac:dyDescent="0.45">
      <c r="B5" s="93" t="s">
        <v>154</v>
      </c>
      <c r="C5" s="93" t="s">
        <v>148</v>
      </c>
      <c r="D5" s="93" t="s">
        <v>144</v>
      </c>
      <c r="F5" s="93" t="s">
        <v>30</v>
      </c>
    </row>
    <row r="6" spans="2:6" x14ac:dyDescent="0.45">
      <c r="B6" s="93" t="s">
        <v>155</v>
      </c>
      <c r="C6" s="93" t="s">
        <v>143</v>
      </c>
      <c r="D6" s="93" t="s">
        <v>147</v>
      </c>
    </row>
    <row r="7" spans="2:6" ht="28.5" x14ac:dyDescent="0.45">
      <c r="B7" s="93" t="s">
        <v>156</v>
      </c>
      <c r="C7" s="92"/>
      <c r="D7" s="93" t="s">
        <v>146</v>
      </c>
    </row>
    <row r="8" spans="2:6" x14ac:dyDescent="0.45">
      <c r="B8" s="93" t="s">
        <v>157</v>
      </c>
      <c r="C8" s="92"/>
      <c r="D8" s="93" t="s">
        <v>158</v>
      </c>
    </row>
    <row r="9" spans="2:6" x14ac:dyDescent="0.45">
      <c r="B9" s="93" t="s">
        <v>159</v>
      </c>
      <c r="C9" s="92"/>
      <c r="D9" s="92"/>
    </row>
    <row r="10" spans="2:6" x14ac:dyDescent="0.45">
      <c r="B10" s="93" t="s">
        <v>160</v>
      </c>
      <c r="C10" s="92"/>
      <c r="D10" s="92"/>
    </row>
    <row r="11" spans="2:6" x14ac:dyDescent="0.45">
      <c r="B11" s="93" t="s">
        <v>161</v>
      </c>
      <c r="C11" s="92"/>
      <c r="D11" s="9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Head Data</vt:lpstr>
      <vt:lpstr>Consortium</vt:lpstr>
      <vt:lpstr>Gantt</vt:lpstr>
      <vt:lpstr>Deliverables</vt:lpstr>
      <vt:lpstr>AEGIS Role</vt:lpstr>
      <vt:lpstr>Meetings</vt:lpstr>
      <vt:lpstr>Internal Meetings Log</vt:lpstr>
      <vt:lpstr>Effort(Old)</vt:lpstr>
      <vt:lpstr>SourceData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Jihane Najar</dc:creator>
  <cp:lastModifiedBy>Jihane Najar</cp:lastModifiedBy>
  <dcterms:created xsi:type="dcterms:W3CDTF">2025-04-10T14:29:58Z</dcterms:created>
  <dcterms:modified xsi:type="dcterms:W3CDTF">2025-07-01T09:09:28Z</dcterms:modified>
</cp:coreProperties>
</file>