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aja\Nextcloud2\AEGIS-DE\Projects\COEVOLUTION\WP2 - Dissemination Exploitation Sustainability\"/>
    </mc:Choice>
  </mc:AlternateContent>
  <xr:revisionPtr revIDLastSave="0" documentId="13_ncr:1_{487EEA13-720D-4BD0-9117-4465EF146CCA}" xr6:coauthVersionLast="47" xr6:coauthVersionMax="47" xr10:uidLastSave="{00000000-0000-0000-0000-000000000000}"/>
  <bookViews>
    <workbookView xWindow="-6291" yWindow="-18617" windowWidth="33120" windowHeight="18000" activeTab="1" xr2:uid="{FF1FA815-8793-4AD4-B874-3F3696128B3A}"/>
  </bookViews>
  <sheets>
    <sheet name="KPIs" sheetId="2" r:id="rId1"/>
    <sheet name="SM &amp; Website" sheetId="1" r:id="rId2"/>
    <sheet name="Materials Plan" sheetId="3" r:id="rId3"/>
    <sheet name="Sheet1" sheetId="4" state="hidden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2" l="1"/>
  <c r="C37" i="2"/>
  <c r="M43" i="1"/>
  <c r="AG13" i="1"/>
  <c r="AE13" i="1"/>
  <c r="AC42" i="1"/>
  <c r="AI42" i="1"/>
  <c r="T42" i="1"/>
  <c r="O42" i="1"/>
  <c r="H42" i="1"/>
  <c r="C42" i="1"/>
  <c r="AK42" i="1"/>
  <c r="U42" i="1"/>
  <c r="P42" i="1"/>
  <c r="E42" i="1"/>
  <c r="B44" i="1" s="1"/>
  <c r="C57" i="2"/>
  <c r="C58" i="2"/>
  <c r="C59" i="2"/>
  <c r="C56" i="2"/>
  <c r="C53" i="2"/>
  <c r="C54" i="2"/>
  <c r="C52" i="2"/>
  <c r="C50" i="2"/>
  <c r="C49" i="2"/>
  <c r="C47" i="2"/>
  <c r="C46" i="2"/>
  <c r="C43" i="2"/>
  <c r="C44" i="2"/>
  <c r="C42" i="2"/>
  <c r="C39" i="2"/>
  <c r="C36" i="2"/>
  <c r="C34" i="2"/>
  <c r="C31" i="2"/>
  <c r="C28" i="2"/>
  <c r="C29" i="2"/>
  <c r="C27" i="2"/>
  <c r="C19" i="2"/>
  <c r="C20" i="2"/>
  <c r="C21" i="2"/>
  <c r="C22" i="2"/>
  <c r="C23" i="2"/>
  <c r="C24" i="2"/>
  <c r="C25" i="2"/>
  <c r="C18" i="2"/>
  <c r="C15" i="2"/>
  <c r="C16" i="2"/>
  <c r="C14" i="2"/>
  <c r="C12" i="2"/>
  <c r="C10" i="2"/>
  <c r="C9" i="2"/>
  <c r="C7" i="2"/>
  <c r="C6" i="2"/>
  <c r="C4" i="2"/>
  <c r="C3" i="2"/>
  <c r="M42" i="1"/>
  <c r="I42" i="1"/>
  <c r="X42" i="1"/>
  <c r="B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Jihane Najar</author>
  </authors>
  <commentList>
    <comment ref="J22" authorId="0" shapeId="0" xr:uid="{503A1F29-FAF7-483B-A8B1-C11A8B3D0865}">
      <text>
        <r>
          <rPr>
            <b/>
            <sz val="9"/>
            <color indexed="81"/>
            <rFont val="Tahoma"/>
            <family val="2"/>
          </rPr>
          <t>Jihane Najar:</t>
        </r>
        <r>
          <rPr>
            <sz val="9"/>
            <color indexed="81"/>
            <rFont val="Tahoma"/>
            <family val="2"/>
          </rPr>
          <t xml:space="preserve">
CyberHot 2025
</t>
        </r>
      </text>
    </comment>
    <comment ref="I27" authorId="0" shapeId="0" xr:uid="{B764D170-6B29-445F-9D63-AB091F1E9278}">
      <text>
        <r>
          <rPr>
            <b/>
            <sz val="9"/>
            <color indexed="81"/>
            <rFont val="Tahoma"/>
            <family val="2"/>
          </rPr>
          <t>Jihane Najar:</t>
        </r>
        <r>
          <rPr>
            <sz val="9"/>
            <color indexed="81"/>
            <rFont val="Tahoma"/>
            <family val="2"/>
          </rPr>
          <t xml:space="preserve">
Future-Ready: On-Demand Solutions with AI, Data, and Robotics</t>
        </r>
      </text>
    </comment>
  </commentList>
</comments>
</file>

<file path=xl/sharedStrings.xml><?xml version="1.0" encoding="utf-8"?>
<sst xmlns="http://schemas.openxmlformats.org/spreadsheetml/2006/main" count="268" uniqueCount="195">
  <si>
    <t>Project Month</t>
  </si>
  <si>
    <t>X</t>
  </si>
  <si>
    <t>LinkedIn</t>
  </si>
  <si>
    <t>Facebook</t>
  </si>
  <si>
    <t>Website</t>
  </si>
  <si>
    <t>Posts</t>
  </si>
  <si>
    <t>likes &amp; share &amp; Comment</t>
  </si>
  <si>
    <t>Views</t>
  </si>
  <si>
    <t>Impressions</t>
  </si>
  <si>
    <t>Post reach</t>
  </si>
  <si>
    <t>Visitors</t>
  </si>
  <si>
    <t>Total visits</t>
  </si>
  <si>
    <t>Downloads</t>
  </si>
  <si>
    <t>Newsletter subscribers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</si>
  <si>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</si>
  <si>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</si>
  <si>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</si>
  <si>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</si>
  <si>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</si>
  <si>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</si>
  <si>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</si>
  <si>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</si>
  <si>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</si>
  <si>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</si>
  <si>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</si>
  <si>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</si>
  <si>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</si>
  <si>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</si>
  <si>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</si>
  <si>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</si>
  <si>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</si>
  <si>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</si>
  <si>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</si>
  <si>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</si>
  <si>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</si>
  <si>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</si>
  <si>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</si>
  <si>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</si>
  <si>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</si>
  <si>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</si>
  <si>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</si>
  <si>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</si>
  <si>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</si>
  <si>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</si>
  <si>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</si>
  <si>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</si>
  <si>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</si>
  <si>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</si>
  <si>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</si>
  <si>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</si>
  <si>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Scientific Publications KPIs</t>
  </si>
  <si>
    <t>KPI 1</t>
  </si>
  <si>
    <t>Scientific papers in peer-reviewed Journals: ≥10</t>
  </si>
  <si>
    <t>KPI 2</t>
  </si>
  <si>
    <t>Presentations in Scientific Conferences ≥20</t>
  </si>
  <si>
    <t>Technical Publications &amp; White Papers KPIs</t>
  </si>
  <si>
    <t>KPI 3</t>
  </si>
  <si>
    <t>Published Technical articles: ≥10</t>
  </si>
  <si>
    <t>KPI 4</t>
  </si>
  <si>
    <t>White papers/factsheets: ≥10</t>
  </si>
  <si>
    <t>Source Code Repository KPIs</t>
  </si>
  <si>
    <t>KPI 5</t>
  </si>
  <si>
    <t>Public Deliverables: 10</t>
  </si>
  <si>
    <t>KPI 6</t>
  </si>
  <si>
    <t>Open-source code: Publish to 2 repositories (e.g., GitHub, GitLab)</t>
  </si>
  <si>
    <t>Push results to Communities, fora, alliances, and associations KPIs</t>
  </si>
  <si>
    <t>KPI 7</t>
  </si>
  <si>
    <t>High-impact communities/associations where to push CoEvolution results: &gt;15</t>
  </si>
  <si>
    <t>Showcases KPIs</t>
  </si>
  <si>
    <t>Showcasing events: ≥4</t>
  </si>
  <si>
    <t>Different Countries Involved: ≥4</t>
  </si>
  <si>
    <t>Participants: &gt;400</t>
  </si>
  <si>
    <t>Workshops, webinars, and trainings KPIs (organised by the project)</t>
  </si>
  <si>
    <t>Use Case Workshops: 2</t>
  </si>
  <si>
    <t>Technical Workshops: 2</t>
  </si>
  <si>
    <t>Average number of attendees per workshop: &gt;50</t>
  </si>
  <si>
    <t>Online Training Tutorials: 3</t>
  </si>
  <si>
    <t>Summer schools: 2</t>
  </si>
  <si>
    <t>Webinars: 3</t>
  </si>
  <si>
    <t>Industrial panels: 3</t>
  </si>
  <si>
    <t>Enrolled users: &gt;500</t>
  </si>
  <si>
    <t>Industrial exhibitions, Trade Fairs KPIS</t>
  </si>
  <si>
    <t>Industrial exhibitions targeted: ≥10</t>
  </si>
  <si>
    <t>Roll-up banners: 2</t>
  </si>
  <si>
    <t>Brochures to stakeholders: &gt;1.000</t>
  </si>
  <si>
    <t>Standardisation KPIs</t>
  </si>
  <si>
    <t>Number of standardization contributions to different SDOs with adoption status: ≥4</t>
  </si>
  <si>
    <t>Project Website KPIs</t>
  </si>
  <si>
    <t>Online by: M01</t>
  </si>
  <si>
    <t>Visitors at M36: &gt;10.000</t>
  </si>
  <si>
    <t>Social Media KPIs</t>
  </si>
  <si>
    <t>Social media followers (by M36): &gt;2.000</t>
  </si>
  <si>
    <t>No. of impressions (monthly average): &gt;500 (we can only count LinkedIn)</t>
  </si>
  <si>
    <t>e-Newsletters and Email Campaigns KPIs</t>
  </si>
  <si>
    <t>e-Newsletters contributed/released: &gt;6</t>
  </si>
  <si>
    <t>Total Mailing List Contact Points: &gt;1.000</t>
  </si>
  <si>
    <t>Online Publishing KPIs</t>
  </si>
  <si>
    <t>Press releases: ≥10</t>
  </si>
  <si>
    <t>Events organised by local authorities: ≥3</t>
  </si>
  <si>
    <t>People per event: &gt;50.</t>
  </si>
  <si>
    <t>Links and liaisons KPIs</t>
  </si>
  <si>
    <t>Number of DIH and clusters to contribute: 10</t>
  </si>
  <si>
    <t>Liaisons with other relevant projects: ≥5.</t>
  </si>
  <si>
    <t>Promotional material KPIs</t>
  </si>
  <si>
    <t>No. of hard copies (i.e., brochures, flyers, posters, etc.) distributed: &gt;2.000</t>
  </si>
  <si>
    <t>Roll-up Banners: &gt;4</t>
  </si>
  <si>
    <t>Multimedia KPIs</t>
  </si>
  <si>
    <t>Number of promotional videos: &gt;3</t>
  </si>
  <si>
    <t>Number of interviews produced: &gt;6</t>
  </si>
  <si>
    <t>views: &gt;3.000</t>
  </si>
  <si>
    <t>Public Talks KPIs</t>
  </si>
  <si>
    <t>Public events at universities: ≥6</t>
  </si>
  <si>
    <t xml:space="preserve">Students per event: &gt;100; </t>
  </si>
  <si>
    <t>Open days: ≥6</t>
  </si>
  <si>
    <t>Visitors/open day: &gt;50</t>
  </si>
  <si>
    <t>KPI 8</t>
  </si>
  <si>
    <t>KPI 9</t>
  </si>
  <si>
    <t>KPI 10</t>
  </si>
  <si>
    <t>KPI 11</t>
  </si>
  <si>
    <t>KPI 12</t>
  </si>
  <si>
    <t>KPI 13</t>
  </si>
  <si>
    <t>KPI 14</t>
  </si>
  <si>
    <t>KPI 15</t>
  </si>
  <si>
    <t>KPI 16</t>
  </si>
  <si>
    <t>KPI 17</t>
  </si>
  <si>
    <t>KPI 18</t>
  </si>
  <si>
    <t>KPI 19</t>
  </si>
  <si>
    <t>KPI 20</t>
  </si>
  <si>
    <t>KPI 21</t>
  </si>
  <si>
    <t>KPI 22</t>
  </si>
  <si>
    <t>KPI 23</t>
  </si>
  <si>
    <t>KPI 24</t>
  </si>
  <si>
    <t>KPI 25</t>
  </si>
  <si>
    <t>KPI 26</t>
  </si>
  <si>
    <t>KPI 27</t>
  </si>
  <si>
    <t>KPI 28</t>
  </si>
  <si>
    <t>KPI 29</t>
  </si>
  <si>
    <t>KPI 30</t>
  </si>
  <si>
    <t>KPI 31</t>
  </si>
  <si>
    <t>KPI 32</t>
  </si>
  <si>
    <t>KPI 33</t>
  </si>
  <si>
    <t>KPI 34</t>
  </si>
  <si>
    <t>KPI 35</t>
  </si>
  <si>
    <t>KPI 36</t>
  </si>
  <si>
    <t>KPI 37</t>
  </si>
  <si>
    <t>KPI 38</t>
  </si>
  <si>
    <t>KPI 39</t>
  </si>
  <si>
    <t>KPI 40</t>
  </si>
  <si>
    <t>KPI 41</t>
  </si>
  <si>
    <t>KPI</t>
  </si>
  <si>
    <t>Description</t>
  </si>
  <si>
    <t>yes</t>
  </si>
  <si>
    <t>Newsletter</t>
  </si>
  <si>
    <t>Deadline</t>
  </si>
  <si>
    <t>Status</t>
  </si>
  <si>
    <t>Date of Submission</t>
  </si>
  <si>
    <t>Not Started</t>
  </si>
  <si>
    <t>Press Release</t>
  </si>
  <si>
    <t>Bluesky</t>
  </si>
  <si>
    <t>Page views</t>
  </si>
  <si>
    <t>Unique visitors</t>
  </si>
  <si>
    <t>Topic</t>
  </si>
  <si>
    <t>One Year of the Project (e.g.,  CoEvolution Project Celebrates a Successful First Year of …)</t>
  </si>
  <si>
    <t>Launch of the Project</t>
  </si>
  <si>
    <t>Two Years of the Project (e.g.,  CoEvolution Project Celebrates a Two Years of …)</t>
  </si>
  <si>
    <t>End of the Project</t>
  </si>
  <si>
    <t>Released</t>
  </si>
  <si>
    <t>Invitation to the 1st Info Day</t>
  </si>
  <si>
    <t>TBD (October 2025)</t>
  </si>
  <si>
    <t>Invitation to the 2nd Info Day</t>
  </si>
  <si>
    <t>TBD (May-August 2026))</t>
  </si>
  <si>
    <t>Reactions</t>
  </si>
  <si>
    <t>Zenodo</t>
  </si>
  <si>
    <t>Views (Total)</t>
  </si>
  <si>
    <t>Views (Monthly)</t>
  </si>
  <si>
    <t>Download (Total)</t>
  </si>
  <si>
    <t>Downloads (Monthly)</t>
  </si>
  <si>
    <t>CURRENT</t>
  </si>
  <si>
    <t>YES</t>
  </si>
  <si>
    <t>KPI 42</t>
  </si>
  <si>
    <t>YouTube</t>
  </si>
  <si>
    <t>Videos</t>
  </si>
  <si>
    <t>Followers (total)</t>
  </si>
  <si>
    <t>Followers (Total)</t>
  </si>
  <si>
    <t>Subscribers (Total)</t>
  </si>
  <si>
    <t>New Followers (monthly)</t>
  </si>
  <si>
    <t>Total Followers</t>
  </si>
  <si>
    <t>Total Posts</t>
  </si>
  <si>
    <t>Month</t>
  </si>
  <si>
    <t>Website Visitors</t>
  </si>
  <si>
    <t>Goal</t>
  </si>
  <si>
    <t>M7 Status</t>
  </si>
  <si>
    <t>Roll-up Banner</t>
  </si>
  <si>
    <t>Ready</t>
  </si>
  <si>
    <t>White papers/factsheets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</si>
</sst>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i/>
      <sz val="11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4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CCFFFF"/>
        <bgColor rgb="FFE2F0D9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4" tint="0.79989013336588644"/>
        <bgColor rgb="FFD1E3E3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rgb="FFD1E3E3"/>
      </patternFill>
    </fill>
    <fill>
      <patternFill patternType="solid">
        <fgColor rgb="FF92D050"/>
        <bgColor rgb="FF93C47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8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17" fontId="2" fillId="0" borderId="1" xfId="0" applyNumberFormat="1" applyFont="1" applyBorder="1" applyAlignment="1">
      <alignment horizontal="center"/>
    </xf>
    <xf numFmtId="0" fontId="0" fillId="6" borderId="1" xfId="0" applyFill="1" applyBorder="1"/>
    <xf numFmtId="0" fontId="0" fillId="2" borderId="1" xfId="0" applyFill="1" applyBorder="1"/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4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11" borderId="1" xfId="0" applyFont="1" applyFill="1" applyBorder="1"/>
    <xf numFmtId="0" fontId="3" fillId="7" borderId="5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3" fillId="8" borderId="6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2" fillId="12" borderId="1" xfId="1" applyFont="1" applyFill="1" applyBorder="1"/>
    <xf numFmtId="0" fontId="2" fillId="12" borderId="1" xfId="1" applyFont="1" applyFill="1" applyBorder="1" applyAlignment="1">
      <alignment wrapText="1"/>
    </xf>
    <xf numFmtId="0" fontId="13" fillId="0" borderId="1" xfId="1" applyBorder="1"/>
    <xf numFmtId="0" fontId="13" fillId="0" borderId="1" xfId="1" applyBorder="1" applyAlignment="1">
      <alignment wrapText="1"/>
    </xf>
    <xf numFmtId="0" fontId="13" fillId="13" borderId="1" xfId="1" applyFill="1" applyBorder="1"/>
    <xf numFmtId="0" fontId="13" fillId="13" borderId="1" xfId="1" applyFill="1" applyBorder="1" applyAlignment="1">
      <alignment wrapText="1"/>
    </xf>
    <xf numFmtId="10" fontId="13" fillId="13" borderId="1" xfId="1" applyNumberFormat="1" applyFill="1" applyBorder="1" applyAlignment="1">
      <alignment wrapText="1"/>
    </xf>
    <xf numFmtId="0" fontId="5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0" fontId="1" fillId="16" borderId="1" xfId="0" applyFont="1" applyFill="1" applyBorder="1" applyAlignment="1">
      <alignment horizontal="center" wrapText="1"/>
    </xf>
    <xf numFmtId="0" fontId="12" fillId="15" borderId="8" xfId="0" applyFont="1" applyFill="1" applyBorder="1"/>
    <xf numFmtId="0" fontId="0" fillId="0" borderId="9" xfId="0" applyBorder="1"/>
    <xf numFmtId="0" fontId="0" fillId="14" borderId="1" xfId="0" applyFill="1" applyBorder="1"/>
    <xf numFmtId="0" fontId="0" fillId="8" borderId="1" xfId="0" applyFill="1" applyBorder="1"/>
    <xf numFmtId="0" fontId="0" fillId="17" borderId="1" xfId="0" applyFill="1" applyBorder="1"/>
    <xf numFmtId="0" fontId="0" fillId="18" borderId="2" xfId="0" applyFill="1" applyBorder="1"/>
    <xf numFmtId="0" fontId="0" fillId="18" borderId="3" xfId="0" applyFill="1" applyBorder="1" applyAlignment="1">
      <alignment horizontal="right"/>
    </xf>
    <xf numFmtId="0" fontId="0" fillId="18" borderId="1" xfId="0" applyFill="1" applyBorder="1" applyAlignment="1">
      <alignment horizontal="right"/>
    </xf>
    <xf numFmtId="0" fontId="0" fillId="18" borderId="1" xfId="0" applyFill="1" applyBorder="1"/>
    <xf numFmtId="0" fontId="13" fillId="19" borderId="1" xfId="1" applyFill="1" applyBorder="1"/>
    <xf numFmtId="0" fontId="13" fillId="19" borderId="1" xfId="1" applyFill="1" applyBorder="1" applyAlignment="1">
      <alignment wrapText="1"/>
    </xf>
    <xf numFmtId="0" fontId="14" fillId="0" borderId="0" xfId="0" applyFont="1"/>
    <xf numFmtId="0" fontId="3" fillId="7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12" borderId="1" xfId="1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20" borderId="1" xfId="0" applyFont="1" applyFill="1" applyBorder="1"/>
    <xf numFmtId="0" fontId="1" fillId="20" borderId="0" xfId="0" applyFont="1" applyFill="1"/>
  </cellXfs>
  <cellStyles count="2">
    <cellStyle name="Normal" xfId="0" builtinId="0"/>
    <cellStyle name="Normal 2" xfId="1" xr:uid="{0AA5A9E4-94E9-44FE-976C-AE5651CF1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Website Visitors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Sheet1!$K$15</c:f>
              <c:strCache>
                <c:ptCount val="1"/>
                <c:pt idx="0">
                  <c:v>Website Visitors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Sheet1!$J$16:$J$22</c:f>
              <c:numCache>
                <c:formatCode>mmm\-yy</c:formatCode>
                <c:ptCount val="7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</c:numCache>
            </c:numRef>
          </c:cat>
          <c:val>
            <c:numRef>
              <c:f>Sheet1!$K$16:$K$22</c:f>
              <c:numCache>
                <c:formatCode>General</c:formatCode>
                <c:ptCount val="7"/>
                <c:pt idx="0">
                  <c:v>78</c:v>
                </c:pt>
                <c:pt idx="1">
                  <c:v>68</c:v>
                </c:pt>
                <c:pt idx="2">
                  <c:v>91</c:v>
                </c:pt>
                <c:pt idx="3">
                  <c:v>140</c:v>
                </c:pt>
                <c:pt idx="4">
                  <c:v>122</c:v>
                </c:pt>
                <c:pt idx="5">
                  <c:v>184</c:v>
                </c:pt>
                <c:pt idx="6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6-4AA6-AB4B-5CC692593F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7064496"/>
        <c:axId val="817076496"/>
      </c:lineChart>
      <c:dateAx>
        <c:axId val="817064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17076496"/>
        <c:crosses val="autoZero"/>
        <c:auto val="1"/>
        <c:lblOffset val="100"/>
        <c:baseTimeUnit val="months"/>
      </c:dateAx>
      <c:valAx>
        <c:axId val="8170764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706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 Impressions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Sheet1!$E$27</c:f>
              <c:strCache>
                <c:ptCount val="1"/>
                <c:pt idx="0">
                  <c:v>Impressions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Sheet1!$D$28:$D$33</c:f>
              <c:numCache>
                <c:formatCode>mmm\-yy</c:formatCode>
                <c:ptCount val="6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</c:numCache>
            </c:numRef>
          </c:cat>
          <c:val>
            <c:numRef>
              <c:f>Sheet1!$E$28:$E$33</c:f>
              <c:numCache>
                <c:formatCode>General</c:formatCode>
                <c:ptCount val="6"/>
                <c:pt idx="0">
                  <c:v>5506</c:v>
                </c:pt>
                <c:pt idx="1">
                  <c:v>998</c:v>
                </c:pt>
                <c:pt idx="2">
                  <c:v>3962</c:v>
                </c:pt>
                <c:pt idx="3">
                  <c:v>1810</c:v>
                </c:pt>
                <c:pt idx="4">
                  <c:v>3052</c:v>
                </c:pt>
                <c:pt idx="5">
                  <c:v>4080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7-48A0-9E2D-F7BA127D10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77263536"/>
        <c:axId val="277262576"/>
      </c:lineChart>
      <c:dateAx>
        <c:axId val="277263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77262576"/>
        <c:crosses val="autoZero"/>
        <c:auto val="1"/>
        <c:lblOffset val="100"/>
        <c:baseTimeUnit val="months"/>
      </c:dateAx>
      <c:valAx>
        <c:axId val="277262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726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 Followers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A7-4ED8-8F27-6D921A093E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A7-4ED8-8F27-6D921A093E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Sheet1!$W$11:$X$11</c:f>
              <c:strCache>
                <c:ptCount val="2"/>
                <c:pt idx="0">
                  <c:v>Goal</c:v>
                </c:pt>
                <c:pt idx="1">
                  <c:v>M7 Status</c:v>
                </c:pt>
              </c:strCache>
            </c:strRef>
          </c:cat>
          <c:val>
            <c:numRef>
              <c:f>Sheet1!$W$12:$X$12</c:f>
              <c:numCache>
                <c:formatCode>General</c:formatCode>
                <c:ptCount val="2"/>
                <c:pt idx="0">
                  <c:v>2000</c:v>
                </c:pt>
                <c:pt idx="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ED-4B6F-B0E0-17F8722BF2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218394</xdr:colOff>
      <xdr:row>7</xdr:row>
      <xdr:rowOff>191860</xdr:rowOff>
    </xdr:from>
    <xdr:to>
      <xdr:col>19</xdr:col>
      <xdr:colOff>218394</xdr:colOff>
      <xdr:row>22</xdr:row>
      <xdr:rowOff>116340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6AC91-E29B-4354-4EB4-C9E6483F2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484414</xdr:colOff>
      <xdr:row>4</xdr:row>
      <xdr:rowOff>38098</xdr:rowOff>
    </xdr:from>
    <xdr:to>
      <xdr:col>7</xdr:col>
      <xdr:colOff>484414</xdr:colOff>
      <xdr:row>19</xdr:row>
      <xdr:rowOff>5441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5C37F-268F-FFB4-7099-3B1452882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71437</xdr:colOff>
      <xdr:row>25</xdr:row>
      <xdr:rowOff>169408</xdr:rowOff>
    </xdr:from>
    <xdr:to>
      <xdr:col>19</xdr:col>
      <xdr:colOff>71437</xdr:colOff>
      <xdr:row>40</xdr:row>
      <xdr:rowOff>137432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C42FE6-184B-A337-B8FF-EC8199DB3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1E97-A7E7-4BFE-9B7A-ACC71A00E12C}">
  <dimension ref="A1:AM59"/>
  <sheetViews>
    <sheetView workbookViewId="0">
      <selection activeCell="B7" sqref="B7"/>
    </sheetView>
  </sheetViews>
  <sheetFormatPr defaultColWidth="9.1328125" defaultRowHeight="13.9" x14ac:dyDescent="0.4"/>
  <cols>
    <col min="1" max="1" width="17.73046875" style="18" customWidth="1"/>
    <col min="2" max="2" width="49.46484375" style="18" customWidth="1"/>
    <col min="3" max="3" width="10.53125" style="19" customWidth="1"/>
    <col min="4" max="39" width="9.1328125" style="19"/>
    <col min="40" max="16384" width="9.1328125" style="18"/>
  </cols>
  <sheetData>
    <row r="1" spans="1:39" x14ac:dyDescent="0.4">
      <c r="A1" s="22" t="s">
        <v>149</v>
      </c>
      <c r="B1" s="22" t="s">
        <v>150</v>
      </c>
      <c r="C1" s="24" t="s">
        <v>177</v>
      </c>
      <c r="D1" s="24" t="s">
        <v>14</v>
      </c>
      <c r="E1" s="24" t="s">
        <v>15</v>
      </c>
      <c r="F1" s="22" t="s">
        <v>16</v>
      </c>
      <c r="G1" s="22" t="s">
        <v>17</v>
      </c>
      <c r="H1" s="22" t="s">
        <v>18</v>
      </c>
      <c r="I1" s="22" t="s">
        <v>19</v>
      </c>
      <c r="J1" s="22" t="s">
        <v>20</v>
      </c>
      <c r="K1" s="22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22" t="s">
        <v>28</v>
      </c>
      <c r="S1" s="22" t="s">
        <v>29</v>
      </c>
      <c r="T1" s="22" t="s">
        <v>30</v>
      </c>
      <c r="U1" s="22" t="s">
        <v>31</v>
      </c>
      <c r="V1" s="22" t="s">
        <v>32</v>
      </c>
      <c r="W1" s="22" t="s">
        <v>33</v>
      </c>
      <c r="X1" s="22" t="s">
        <v>34</v>
      </c>
      <c r="Y1" s="22" t="s">
        <v>35</v>
      </c>
      <c r="Z1" s="22" t="s">
        <v>36</v>
      </c>
      <c r="AA1" s="22" t="s">
        <v>37</v>
      </c>
      <c r="AB1" s="22" t="s">
        <v>38</v>
      </c>
      <c r="AC1" s="22" t="s">
        <v>39</v>
      </c>
      <c r="AD1" s="22" t="s">
        <v>40</v>
      </c>
      <c r="AE1" s="22" t="s">
        <v>41</v>
      </c>
      <c r="AF1" s="22" t="s">
        <v>42</v>
      </c>
      <c r="AG1" s="22" t="s">
        <v>43</v>
      </c>
      <c r="AH1" s="22" t="s">
        <v>44</v>
      </c>
      <c r="AI1" s="22" t="s">
        <v>45</v>
      </c>
      <c r="AJ1" s="22" t="s">
        <v>46</v>
      </c>
      <c r="AK1" s="22" t="s">
        <v>47</v>
      </c>
      <c r="AL1" s="22" t="s">
        <v>48</v>
      </c>
      <c r="AM1" s="22" t="s">
        <v>49</v>
      </c>
    </row>
    <row r="2" spans="1:39" ht="14.85" customHeight="1" x14ac:dyDescent="0.4">
      <c r="A2" s="74" t="s">
        <v>50</v>
      </c>
      <c r="B2" s="75"/>
      <c r="C2" s="75"/>
      <c r="D2" s="46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5"/>
    </row>
    <row r="3" spans="1:39" x14ac:dyDescent="0.4">
      <c r="A3" s="20" t="s">
        <v>51</v>
      </c>
      <c r="B3" s="21" t="s">
        <v>52</v>
      </c>
      <c r="C3" s="56">
        <f>SUM(D3:AM3)</f>
        <v>0</v>
      </c>
      <c r="D3" s="21">
        <v>0</v>
      </c>
      <c r="E3" s="21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</row>
    <row r="4" spans="1:39" x14ac:dyDescent="0.4">
      <c r="A4" s="20" t="s">
        <v>53</v>
      </c>
      <c r="B4" s="21" t="s">
        <v>54</v>
      </c>
      <c r="C4" s="56">
        <f>SUM(D4:AM4)</f>
        <v>1</v>
      </c>
      <c r="D4" s="21">
        <v>0</v>
      </c>
      <c r="E4" s="21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1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 ht="14.85" customHeight="1" x14ac:dyDescent="0.4">
      <c r="A5" s="74" t="s">
        <v>55</v>
      </c>
      <c r="B5" s="75"/>
      <c r="C5" s="32"/>
      <c r="D5" s="46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5"/>
    </row>
    <row r="6" spans="1:39" x14ac:dyDescent="0.4">
      <c r="A6" s="20" t="s">
        <v>56</v>
      </c>
      <c r="B6" s="21" t="s">
        <v>57</v>
      </c>
      <c r="C6" s="56">
        <f>SUM(D6:AM6)</f>
        <v>0</v>
      </c>
      <c r="D6" s="21">
        <v>0</v>
      </c>
      <c r="E6" s="21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 x14ac:dyDescent="0.4">
      <c r="A7" s="20" t="s">
        <v>58</v>
      </c>
      <c r="B7" s="21" t="s">
        <v>59</v>
      </c>
      <c r="C7" s="56">
        <f>SUM(D7:AM7)</f>
        <v>0</v>
      </c>
      <c r="D7" s="21">
        <v>0</v>
      </c>
      <c r="E7" s="21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 ht="14.85" customHeight="1" x14ac:dyDescent="0.4">
      <c r="A8" s="74" t="s">
        <v>60</v>
      </c>
      <c r="B8" s="75"/>
      <c r="C8" s="32"/>
      <c r="D8" s="46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3"/>
    </row>
    <row r="9" spans="1:39" x14ac:dyDescent="0.4">
      <c r="A9" s="20" t="s">
        <v>61</v>
      </c>
      <c r="B9" s="21" t="s">
        <v>62</v>
      </c>
      <c r="C9" s="56">
        <f>SUM(D9:AM9)</f>
        <v>1</v>
      </c>
      <c r="D9" s="21"/>
      <c r="E9" s="21"/>
      <c r="F9" s="26"/>
      <c r="G9" s="26"/>
      <c r="H9" s="26"/>
      <c r="I9" s="26">
        <v>1</v>
      </c>
      <c r="J9" s="26">
        <v>0</v>
      </c>
      <c r="K9" s="26">
        <v>0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pans="1:39" ht="27.75" x14ac:dyDescent="0.4">
      <c r="A10" s="20" t="s">
        <v>63</v>
      </c>
      <c r="B10" s="21" t="s">
        <v>64</v>
      </c>
      <c r="C10" s="56">
        <f>SUM(D10:AM10)</f>
        <v>1</v>
      </c>
      <c r="D10" s="21">
        <v>0</v>
      </c>
      <c r="E10" s="21">
        <v>0</v>
      </c>
      <c r="F10" s="26">
        <v>0</v>
      </c>
      <c r="G10" s="26">
        <v>0</v>
      </c>
      <c r="H10" s="26">
        <v>1</v>
      </c>
      <c r="I10" s="26">
        <v>0</v>
      </c>
      <c r="J10" s="26">
        <v>0</v>
      </c>
      <c r="K10" s="26"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 ht="14.85" customHeight="1" x14ac:dyDescent="0.4">
      <c r="A11" s="74" t="s">
        <v>65</v>
      </c>
      <c r="B11" s="75"/>
      <c r="C11" s="32"/>
      <c r="D11" s="46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3"/>
    </row>
    <row r="12" spans="1:39" ht="27.75" x14ac:dyDescent="0.4">
      <c r="A12" s="20" t="s">
        <v>66</v>
      </c>
      <c r="B12" s="21" t="s">
        <v>67</v>
      </c>
      <c r="C12" s="56">
        <f>SUM(D12:AM12)</f>
        <v>0</v>
      </c>
      <c r="D12" s="21">
        <v>0</v>
      </c>
      <c r="E12" s="21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 x14ac:dyDescent="0.4">
      <c r="A13" s="74" t="s">
        <v>68</v>
      </c>
      <c r="B13" s="75"/>
      <c r="C13" s="32"/>
      <c r="D13" s="46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3"/>
    </row>
    <row r="14" spans="1:39" x14ac:dyDescent="0.4">
      <c r="A14" s="20" t="s">
        <v>115</v>
      </c>
      <c r="B14" s="21" t="s">
        <v>69</v>
      </c>
      <c r="C14" s="55">
        <f>SUM(D14:AM14)</f>
        <v>0</v>
      </c>
      <c r="D14" s="25">
        <v>0</v>
      </c>
      <c r="E14" s="21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 x14ac:dyDescent="0.4">
      <c r="A15" s="20" t="s">
        <v>116</v>
      </c>
      <c r="B15" s="21" t="s">
        <v>70</v>
      </c>
      <c r="C15" s="55">
        <f t="shared" ref="C15:C16" si="0">SUM(D15:AM15)</f>
        <v>0</v>
      </c>
      <c r="D15" s="25">
        <v>0</v>
      </c>
      <c r="E15" s="21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 x14ac:dyDescent="0.4">
      <c r="A16" s="20" t="s">
        <v>117</v>
      </c>
      <c r="B16" s="21" t="s">
        <v>71</v>
      </c>
      <c r="C16" s="55">
        <f t="shared" si="0"/>
        <v>0</v>
      </c>
      <c r="D16" s="25">
        <v>0</v>
      </c>
      <c r="E16" s="21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</row>
    <row r="17" spans="1:39" ht="14.85" customHeight="1" x14ac:dyDescent="0.4">
      <c r="A17" s="74" t="s">
        <v>72</v>
      </c>
      <c r="B17" s="75"/>
      <c r="C17" s="32"/>
      <c r="D17" s="46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3"/>
    </row>
    <row r="18" spans="1:39" x14ac:dyDescent="0.4">
      <c r="A18" s="20" t="s">
        <v>118</v>
      </c>
      <c r="B18" s="21" t="s">
        <v>73</v>
      </c>
      <c r="C18" s="55">
        <f>SUM(D18:AM18)</f>
        <v>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6">
        <v>0</v>
      </c>
      <c r="J18" s="26">
        <v>0</v>
      </c>
      <c r="K18" s="26"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</row>
    <row r="19" spans="1:39" x14ac:dyDescent="0.4">
      <c r="A19" s="20" t="s">
        <v>119</v>
      </c>
      <c r="B19" s="21" t="s">
        <v>74</v>
      </c>
      <c r="C19" s="55">
        <f t="shared" ref="C19:C25" si="1">SUM(D19:AM19)</f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6">
        <v>0</v>
      </c>
      <c r="J19" s="26">
        <v>0</v>
      </c>
      <c r="K19" s="26">
        <v>0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</row>
    <row r="20" spans="1:39" x14ac:dyDescent="0.4">
      <c r="A20" s="20" t="s">
        <v>120</v>
      </c>
      <c r="B20" s="21" t="s">
        <v>75</v>
      </c>
      <c r="C20" s="55">
        <f t="shared" si="1"/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6">
        <v>0</v>
      </c>
      <c r="J20" s="26">
        <v>0</v>
      </c>
      <c r="K20" s="26"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</row>
    <row r="21" spans="1:39" x14ac:dyDescent="0.4">
      <c r="A21" s="20" t="s">
        <v>121</v>
      </c>
      <c r="B21" s="21" t="s">
        <v>76</v>
      </c>
      <c r="C21" s="55">
        <f t="shared" si="1"/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6">
        <v>0</v>
      </c>
      <c r="J21" s="26">
        <v>0</v>
      </c>
      <c r="K21" s="26">
        <v>0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</row>
    <row r="22" spans="1:39" x14ac:dyDescent="0.4">
      <c r="A22" s="20" t="s">
        <v>122</v>
      </c>
      <c r="B22" s="21" t="s">
        <v>77</v>
      </c>
      <c r="C22" s="55">
        <f t="shared" si="1"/>
        <v>1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6">
        <v>0</v>
      </c>
      <c r="J22" s="26">
        <v>1</v>
      </c>
      <c r="K22" s="26"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</row>
    <row r="23" spans="1:39" x14ac:dyDescent="0.4">
      <c r="A23" s="20" t="s">
        <v>123</v>
      </c>
      <c r="B23" s="21" t="s">
        <v>78</v>
      </c>
      <c r="C23" s="55">
        <f t="shared" si="1"/>
        <v>0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6">
        <v>0</v>
      </c>
      <c r="J23" s="26">
        <v>0</v>
      </c>
      <c r="K23" s="26">
        <v>0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x14ac:dyDescent="0.4">
      <c r="A24" s="20" t="s">
        <v>124</v>
      </c>
      <c r="B24" s="21" t="s">
        <v>79</v>
      </c>
      <c r="C24" s="55">
        <f t="shared" si="1"/>
        <v>0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6">
        <v>0</v>
      </c>
      <c r="J24" s="26">
        <v>0</v>
      </c>
      <c r="K24" s="26"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x14ac:dyDescent="0.4">
      <c r="A25" s="20" t="s">
        <v>125</v>
      </c>
      <c r="B25" s="21" t="s">
        <v>80</v>
      </c>
      <c r="C25" s="55">
        <f t="shared" si="1"/>
        <v>0</v>
      </c>
      <c r="D25" s="25">
        <v>0</v>
      </c>
      <c r="E25" s="25">
        <v>0</v>
      </c>
      <c r="F25" s="25">
        <v>0</v>
      </c>
      <c r="G25" s="25">
        <v>0</v>
      </c>
      <c r="H25" s="25">
        <v>0</v>
      </c>
      <c r="I25" s="26">
        <v>0</v>
      </c>
      <c r="J25" s="26">
        <v>0</v>
      </c>
      <c r="K25" s="26">
        <v>0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4.85" customHeight="1" x14ac:dyDescent="0.4">
      <c r="A26" s="74" t="s">
        <v>81</v>
      </c>
      <c r="B26" s="75"/>
      <c r="C26" s="32"/>
      <c r="D26" s="46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3"/>
    </row>
    <row r="27" spans="1:39" x14ac:dyDescent="0.4">
      <c r="A27" s="20" t="s">
        <v>126</v>
      </c>
      <c r="B27" s="21" t="s">
        <v>82</v>
      </c>
      <c r="C27" s="55">
        <f>SUM(D27:AM27)</f>
        <v>1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1</v>
      </c>
      <c r="J27" s="26">
        <v>0</v>
      </c>
      <c r="K27" s="26">
        <v>0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x14ac:dyDescent="0.4">
      <c r="A28" s="20" t="s">
        <v>127</v>
      </c>
      <c r="B28" s="21" t="s">
        <v>83</v>
      </c>
      <c r="C28" s="55">
        <f t="shared" ref="C28:C29" si="2">SUM(D28:AM28)</f>
        <v>0</v>
      </c>
      <c r="D28" s="25">
        <v>0</v>
      </c>
      <c r="E28" s="25">
        <v>0</v>
      </c>
      <c r="F28" s="25">
        <v>0</v>
      </c>
      <c r="G28" s="25">
        <v>0</v>
      </c>
      <c r="H28" s="25">
        <v>0</v>
      </c>
      <c r="I28" s="26">
        <v>0</v>
      </c>
      <c r="J28" s="26">
        <v>0</v>
      </c>
      <c r="K28" s="26"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x14ac:dyDescent="0.4">
      <c r="A29" s="20" t="s">
        <v>128</v>
      </c>
      <c r="B29" s="21" t="s">
        <v>84</v>
      </c>
      <c r="C29" s="55">
        <f t="shared" si="2"/>
        <v>0</v>
      </c>
      <c r="D29" s="25">
        <v>0</v>
      </c>
      <c r="E29" s="25">
        <v>0</v>
      </c>
      <c r="F29" s="25">
        <v>0</v>
      </c>
      <c r="G29" s="25">
        <v>0</v>
      </c>
      <c r="H29" s="26">
        <v>0</v>
      </c>
      <c r="I29" s="26">
        <v>0</v>
      </c>
      <c r="J29" s="26">
        <v>0</v>
      </c>
      <c r="K29" s="26">
        <v>0</v>
      </c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4.85" customHeight="1" x14ac:dyDescent="0.4">
      <c r="A30" s="74" t="s">
        <v>85</v>
      </c>
      <c r="B30" s="75"/>
      <c r="C30" s="32"/>
      <c r="D30" s="46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3"/>
    </row>
    <row r="31" spans="1:39" ht="27.75" x14ac:dyDescent="0.4">
      <c r="A31" s="20" t="s">
        <v>129</v>
      </c>
      <c r="B31" s="21" t="s">
        <v>86</v>
      </c>
      <c r="C31" s="55">
        <f>SUM(D31:AM31)</f>
        <v>0</v>
      </c>
      <c r="D31" s="25">
        <v>0</v>
      </c>
      <c r="E31" s="21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4.85" customHeight="1" x14ac:dyDescent="0.4">
      <c r="A32" s="74" t="s">
        <v>87</v>
      </c>
      <c r="B32" s="75"/>
      <c r="C32" s="32"/>
      <c r="D32" s="46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3"/>
    </row>
    <row r="33" spans="1:39" x14ac:dyDescent="0.4">
      <c r="A33" s="20" t="s">
        <v>130</v>
      </c>
      <c r="B33" s="21" t="s">
        <v>88</v>
      </c>
      <c r="C33" s="55" t="s">
        <v>178</v>
      </c>
      <c r="D33" s="25" t="s">
        <v>151</v>
      </c>
      <c r="E33" s="2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x14ac:dyDescent="0.4">
      <c r="A34" s="20" t="s">
        <v>131</v>
      </c>
      <c r="B34" s="21" t="s">
        <v>89</v>
      </c>
      <c r="C34" s="55">
        <f>SUM(D34:AM34)</f>
        <v>1093</v>
      </c>
      <c r="D34" s="25">
        <v>78</v>
      </c>
      <c r="E34" s="21">
        <v>68</v>
      </c>
      <c r="F34" s="26">
        <v>91</v>
      </c>
      <c r="G34" s="26">
        <v>140</v>
      </c>
      <c r="H34" s="26">
        <v>122</v>
      </c>
      <c r="I34" s="26">
        <v>184</v>
      </c>
      <c r="J34" s="26">
        <v>243</v>
      </c>
      <c r="K34" s="26">
        <v>167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x14ac:dyDescent="0.4">
      <c r="A35" s="74" t="s">
        <v>90</v>
      </c>
      <c r="B35" s="75"/>
      <c r="C35" s="32"/>
      <c r="D35" s="46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5"/>
    </row>
    <row r="36" spans="1:39" x14ac:dyDescent="0.4">
      <c r="A36" s="20" t="s">
        <v>132</v>
      </c>
      <c r="B36" s="21" t="s">
        <v>91</v>
      </c>
      <c r="C36" s="55">
        <f>MAX(D36:AM36)</f>
        <v>299</v>
      </c>
      <c r="D36" s="25"/>
      <c r="E36" s="21"/>
      <c r="F36" s="26"/>
      <c r="G36" s="26"/>
      <c r="H36" s="26"/>
      <c r="I36" s="26">
        <v>153</v>
      </c>
      <c r="J36" s="26">
        <v>275</v>
      </c>
      <c r="K36" s="26">
        <v>299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</row>
    <row r="37" spans="1:39" ht="27.75" x14ac:dyDescent="0.4">
      <c r="A37" s="20" t="s">
        <v>133</v>
      </c>
      <c r="B37" s="21" t="s">
        <v>92</v>
      </c>
      <c r="C37" s="55">
        <f>AVERAGE(D37:AM37)</f>
        <v>3414.8571428571427</v>
      </c>
      <c r="D37" s="25"/>
      <c r="E37" s="21">
        <v>5506</v>
      </c>
      <c r="F37" s="26">
        <v>998</v>
      </c>
      <c r="G37" s="26">
        <v>3962</v>
      </c>
      <c r="H37" s="26">
        <v>1810</v>
      </c>
      <c r="I37" s="26">
        <v>3052</v>
      </c>
      <c r="J37" s="26">
        <v>4080</v>
      </c>
      <c r="K37" s="26">
        <v>4496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</row>
    <row r="38" spans="1:39" ht="14.85" customHeight="1" x14ac:dyDescent="0.4">
      <c r="A38" s="74" t="s">
        <v>93</v>
      </c>
      <c r="B38" s="75"/>
      <c r="C38" s="32"/>
      <c r="D38" s="46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3"/>
    </row>
    <row r="39" spans="1:39" x14ac:dyDescent="0.4">
      <c r="A39" s="20" t="s">
        <v>134</v>
      </c>
      <c r="B39" s="21" t="s">
        <v>94</v>
      </c>
      <c r="C39" s="55">
        <f>SUM(D39:AM39)</f>
        <v>1</v>
      </c>
      <c r="D39" s="25">
        <v>0</v>
      </c>
      <c r="E39" s="21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1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</row>
    <row r="40" spans="1:39" x14ac:dyDescent="0.4">
      <c r="A40" s="20" t="s">
        <v>135</v>
      </c>
      <c r="B40" s="21" t="s">
        <v>95</v>
      </c>
      <c r="C40" s="55">
        <f>MAX(D40:AM40)</f>
        <v>26</v>
      </c>
      <c r="D40" s="25">
        <v>0</v>
      </c>
      <c r="E40" s="21">
        <v>0</v>
      </c>
      <c r="F40" s="26">
        <v>0</v>
      </c>
      <c r="G40" s="26">
        <v>0</v>
      </c>
      <c r="H40" s="26">
        <v>0</v>
      </c>
      <c r="I40" s="26">
        <v>15</v>
      </c>
      <c r="J40" s="26">
        <v>24</v>
      </c>
      <c r="K40" s="26">
        <v>26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ht="14.85" customHeight="1" x14ac:dyDescent="0.4">
      <c r="A41" s="74" t="s">
        <v>96</v>
      </c>
      <c r="B41" s="75"/>
      <c r="C41" s="33"/>
      <c r="D41" s="47"/>
      <c r="E41" s="27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</row>
    <row r="42" spans="1:39" x14ac:dyDescent="0.4">
      <c r="A42" s="20" t="s">
        <v>136</v>
      </c>
      <c r="B42" s="21" t="s">
        <v>97</v>
      </c>
      <c r="C42" s="55">
        <f>SUM(D42:AM42)</f>
        <v>1</v>
      </c>
      <c r="D42" s="25">
        <v>0</v>
      </c>
      <c r="E42" s="21">
        <v>0</v>
      </c>
      <c r="F42" s="25">
        <v>0</v>
      </c>
      <c r="G42" s="21">
        <v>0</v>
      </c>
      <c r="H42" s="25">
        <v>0</v>
      </c>
      <c r="I42" s="26">
        <v>1</v>
      </c>
      <c r="J42" s="26">
        <v>0</v>
      </c>
      <c r="K42" s="26"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 spans="1:39" x14ac:dyDescent="0.4">
      <c r="A43" s="20" t="s">
        <v>137</v>
      </c>
      <c r="B43" s="21" t="s">
        <v>98</v>
      </c>
      <c r="C43" s="55">
        <f t="shared" ref="C43:C44" si="3">SUM(D43:AM43)</f>
        <v>0</v>
      </c>
      <c r="D43" s="25">
        <v>0</v>
      </c>
      <c r="E43" s="21">
        <v>0</v>
      </c>
      <c r="F43" s="25">
        <v>0</v>
      </c>
      <c r="G43" s="21">
        <v>0</v>
      </c>
      <c r="H43" s="25">
        <v>0</v>
      </c>
      <c r="I43" s="26">
        <v>0</v>
      </c>
      <c r="J43" s="26">
        <v>0</v>
      </c>
      <c r="K43" s="26">
        <v>0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</row>
    <row r="44" spans="1:39" x14ac:dyDescent="0.4">
      <c r="A44" s="20" t="s">
        <v>138</v>
      </c>
      <c r="B44" s="21" t="s">
        <v>99</v>
      </c>
      <c r="C44" s="55">
        <f t="shared" si="3"/>
        <v>0</v>
      </c>
      <c r="D44" s="25">
        <v>0</v>
      </c>
      <c r="E44" s="21">
        <v>0</v>
      </c>
      <c r="F44" s="25">
        <v>0</v>
      </c>
      <c r="G44" s="21">
        <v>0</v>
      </c>
      <c r="H44" s="25">
        <v>0</v>
      </c>
      <c r="I44" s="26">
        <v>0</v>
      </c>
      <c r="J44" s="26">
        <v>0</v>
      </c>
      <c r="K44" s="26"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</row>
    <row r="45" spans="1:39" ht="14.85" customHeight="1" x14ac:dyDescent="0.4">
      <c r="A45" s="74" t="s">
        <v>100</v>
      </c>
      <c r="B45" s="75"/>
      <c r="C45" s="33"/>
      <c r="D45" s="47"/>
      <c r="E45" s="27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</row>
    <row r="46" spans="1:39" x14ac:dyDescent="0.4">
      <c r="A46" s="20" t="s">
        <v>139</v>
      </c>
      <c r="B46" s="21" t="s">
        <v>101</v>
      </c>
      <c r="C46" s="55">
        <f>SUM(D46:AM46)</f>
        <v>0</v>
      </c>
      <c r="D46" s="25">
        <v>0</v>
      </c>
      <c r="E46" s="21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</row>
    <row r="47" spans="1:39" x14ac:dyDescent="0.4">
      <c r="A47" s="20" t="s">
        <v>140</v>
      </c>
      <c r="B47" s="21" t="s">
        <v>102</v>
      </c>
      <c r="C47" s="55">
        <f>SUM(D47:AM47)</f>
        <v>0</v>
      </c>
      <c r="D47" s="25">
        <v>0</v>
      </c>
      <c r="E47" s="21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</row>
    <row r="48" spans="1:39" ht="14.85" customHeight="1" x14ac:dyDescent="0.4">
      <c r="A48" s="74" t="s">
        <v>103</v>
      </c>
      <c r="B48" s="75"/>
      <c r="C48" s="33"/>
      <c r="D48" s="47"/>
      <c r="E48" s="27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</row>
    <row r="49" spans="1:39" ht="27.75" x14ac:dyDescent="0.4">
      <c r="A49" s="20" t="s">
        <v>141</v>
      </c>
      <c r="B49" s="21" t="s">
        <v>104</v>
      </c>
      <c r="C49" s="55">
        <f>SUM(D49:AM49)</f>
        <v>50</v>
      </c>
      <c r="D49" s="25">
        <v>0</v>
      </c>
      <c r="E49" s="21">
        <v>0</v>
      </c>
      <c r="F49" s="26">
        <v>0</v>
      </c>
      <c r="G49" s="26">
        <v>0</v>
      </c>
      <c r="H49" s="26">
        <v>0</v>
      </c>
      <c r="I49" s="26">
        <v>0</v>
      </c>
      <c r="J49" s="26">
        <v>50</v>
      </c>
      <c r="K49" s="26">
        <v>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</row>
    <row r="50" spans="1:39" x14ac:dyDescent="0.4">
      <c r="A50" s="20" t="s">
        <v>142</v>
      </c>
      <c r="B50" s="21" t="s">
        <v>105</v>
      </c>
      <c r="C50" s="55">
        <f>SUM(D50:AM50)</f>
        <v>1</v>
      </c>
      <c r="D50" s="25">
        <v>0</v>
      </c>
      <c r="E50" s="21">
        <v>0</v>
      </c>
      <c r="F50" s="26">
        <v>0</v>
      </c>
      <c r="G50" s="26">
        <v>0</v>
      </c>
      <c r="H50" s="26">
        <v>0</v>
      </c>
      <c r="I50" s="26">
        <v>0</v>
      </c>
      <c r="J50" s="26">
        <v>1</v>
      </c>
      <c r="K50" s="26"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</row>
    <row r="51" spans="1:39" x14ac:dyDescent="0.4">
      <c r="A51" s="74" t="s">
        <v>106</v>
      </c>
      <c r="B51" s="75"/>
      <c r="C51" s="33"/>
      <c r="D51" s="47"/>
      <c r="E51" s="27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</row>
    <row r="52" spans="1:39" x14ac:dyDescent="0.4">
      <c r="A52" s="20" t="s">
        <v>143</v>
      </c>
      <c r="B52" s="21" t="s">
        <v>107</v>
      </c>
      <c r="C52" s="55">
        <f>SUM(D52:AM52)</f>
        <v>1</v>
      </c>
      <c r="D52" s="25">
        <v>0</v>
      </c>
      <c r="E52" s="21">
        <v>0</v>
      </c>
      <c r="F52" s="25">
        <v>0</v>
      </c>
      <c r="G52" s="21">
        <v>0</v>
      </c>
      <c r="H52" s="25">
        <v>0</v>
      </c>
      <c r="I52" s="26">
        <v>1</v>
      </c>
      <c r="J52" s="26">
        <v>0</v>
      </c>
      <c r="K52" s="26"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</row>
    <row r="53" spans="1:39" x14ac:dyDescent="0.4">
      <c r="A53" s="20" t="s">
        <v>144</v>
      </c>
      <c r="B53" s="21" t="s">
        <v>108</v>
      </c>
      <c r="C53" s="55">
        <f t="shared" ref="C53:C54" si="4">SUM(D53:AM53)</f>
        <v>0</v>
      </c>
      <c r="D53" s="25">
        <v>0</v>
      </c>
      <c r="E53" s="21">
        <v>0</v>
      </c>
      <c r="F53" s="21">
        <v>0</v>
      </c>
      <c r="G53" s="21">
        <v>0</v>
      </c>
      <c r="H53" s="21">
        <v>0</v>
      </c>
      <c r="I53" s="26">
        <v>0</v>
      </c>
      <c r="J53" s="26">
        <v>0</v>
      </c>
      <c r="K53" s="26">
        <v>0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</row>
    <row r="54" spans="1:39" x14ac:dyDescent="0.4">
      <c r="A54" s="20" t="s">
        <v>145</v>
      </c>
      <c r="B54" s="21" t="s">
        <v>109</v>
      </c>
      <c r="C54" s="55">
        <f t="shared" si="4"/>
        <v>28</v>
      </c>
      <c r="D54" s="25">
        <v>0</v>
      </c>
      <c r="E54" s="21">
        <v>0</v>
      </c>
      <c r="F54" s="21">
        <v>0</v>
      </c>
      <c r="G54" s="21">
        <v>0</v>
      </c>
      <c r="H54" s="21">
        <v>0</v>
      </c>
      <c r="I54" s="26">
        <v>0</v>
      </c>
      <c r="J54" s="26">
        <v>28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</row>
    <row r="55" spans="1:39" x14ac:dyDescent="0.4">
      <c r="A55" s="74" t="s">
        <v>110</v>
      </c>
      <c r="B55" s="75"/>
      <c r="C55" s="33"/>
      <c r="D55" s="47"/>
      <c r="E55" s="27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</row>
    <row r="56" spans="1:39" x14ac:dyDescent="0.4">
      <c r="A56" s="20" t="s">
        <v>146</v>
      </c>
      <c r="B56" s="21" t="s">
        <v>111</v>
      </c>
      <c r="C56" s="55">
        <f>SUM(D56:AM56)</f>
        <v>0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6">
        <v>0</v>
      </c>
      <c r="J56" s="26">
        <v>0</v>
      </c>
      <c r="K56" s="26"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</row>
    <row r="57" spans="1:39" x14ac:dyDescent="0.4">
      <c r="A57" s="20" t="s">
        <v>147</v>
      </c>
      <c r="B57" s="21" t="s">
        <v>112</v>
      </c>
      <c r="C57" s="55">
        <f t="shared" ref="C57:C59" si="5">SUM(D57:AM57)</f>
        <v>0</v>
      </c>
      <c r="D57" s="25">
        <v>0</v>
      </c>
      <c r="E57" s="25">
        <v>0</v>
      </c>
      <c r="F57" s="25">
        <v>0</v>
      </c>
      <c r="G57" s="25">
        <v>0</v>
      </c>
      <c r="H57" s="25">
        <v>0</v>
      </c>
      <c r="I57" s="26">
        <v>0</v>
      </c>
      <c r="J57" s="26">
        <v>0</v>
      </c>
      <c r="K57" s="26">
        <v>0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</row>
    <row r="58" spans="1:39" x14ac:dyDescent="0.4">
      <c r="A58" s="20" t="s">
        <v>148</v>
      </c>
      <c r="B58" s="21" t="s">
        <v>113</v>
      </c>
      <c r="C58" s="55">
        <f t="shared" si="5"/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  <c r="I58" s="26">
        <v>0</v>
      </c>
      <c r="J58" s="26">
        <v>0</v>
      </c>
      <c r="K58" s="26"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</row>
    <row r="59" spans="1:39" x14ac:dyDescent="0.4">
      <c r="A59" s="20" t="s">
        <v>179</v>
      </c>
      <c r="B59" s="21" t="s">
        <v>114</v>
      </c>
      <c r="C59" s="55">
        <f t="shared" si="5"/>
        <v>0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6">
        <v>0</v>
      </c>
      <c r="J59" s="26">
        <v>0</v>
      </c>
      <c r="K59" s="26">
        <v>0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</row>
  </sheetData>
  <mergeCells count="16">
    <mergeCell ref="A55:B55"/>
    <mergeCell ref="A38:B38"/>
    <mergeCell ref="A41:B41"/>
    <mergeCell ref="A45:B45"/>
    <mergeCell ref="A48:B48"/>
    <mergeCell ref="A51:B51"/>
    <mergeCell ref="A17:B17"/>
    <mergeCell ref="A26:B26"/>
    <mergeCell ref="A30:B30"/>
    <mergeCell ref="A32:B32"/>
    <mergeCell ref="A35:B35"/>
    <mergeCell ref="A2:C2"/>
    <mergeCell ref="A5:B5"/>
    <mergeCell ref="A8:B8"/>
    <mergeCell ref="A11:B11"/>
    <mergeCell ref="A13:B13"/>
  </mergeCells>
  <phoneticPr fontId="4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27CD-37A9-4A66-B092-033386ED8EDE}">
  <dimension ref="A4:AK45"/>
  <sheetViews>
    <sheetView tabSelected="1" workbookViewId="0">
      <selection activeCell="V14" sqref="V14"/>
    </sheetView>
  </sheetViews>
  <sheetFormatPr defaultRowHeight="14.25" x14ac:dyDescent="0.45"/>
  <cols>
    <col min="1" max="1" width="12.9296875" customWidth="1"/>
    <col min="13" max="13" width="12.46484375" customWidth="1"/>
    <col min="22" max="22" width="21.73046875" customWidth="1"/>
    <col min="26" max="26" width="12.46484375" customWidth="1"/>
    <col min="27" max="27" width="12.53125" customWidth="1"/>
    <col min="35" max="35" width="10.19921875" customWidth="1"/>
    <col min="36" max="36" width="10.06640625" customWidth="1"/>
    <col min="37" max="37" width="10.33203125" customWidth="1"/>
  </cols>
  <sheetData>
    <row r="4" spans="1:37" x14ac:dyDescent="0.45">
      <c r="A4" s="80" t="s">
        <v>0</v>
      </c>
      <c r="B4" s="80"/>
      <c r="C4" s="81" t="s">
        <v>1</v>
      </c>
      <c r="D4" s="81"/>
      <c r="E4" s="81"/>
      <c r="F4" s="81"/>
      <c r="G4" s="2"/>
      <c r="H4" s="82" t="s">
        <v>2</v>
      </c>
      <c r="I4" s="82"/>
      <c r="J4" s="82"/>
      <c r="K4" s="82"/>
      <c r="L4" s="82"/>
      <c r="M4" s="82"/>
      <c r="N4" s="2"/>
      <c r="O4" s="83" t="s">
        <v>3</v>
      </c>
      <c r="P4" s="83"/>
      <c r="Q4" s="83"/>
      <c r="R4" s="45"/>
      <c r="S4" s="2"/>
      <c r="T4" s="85" t="s">
        <v>158</v>
      </c>
      <c r="U4" s="85"/>
      <c r="V4" s="85"/>
      <c r="W4" s="2"/>
      <c r="X4" s="84" t="s">
        <v>4</v>
      </c>
      <c r="Y4" s="84"/>
      <c r="Z4" s="84"/>
      <c r="AA4" s="84"/>
      <c r="AB4" s="3"/>
      <c r="AC4" s="76" t="s">
        <v>172</v>
      </c>
      <c r="AD4" s="76"/>
      <c r="AE4" s="76"/>
      <c r="AF4" s="76"/>
      <c r="AG4" s="76"/>
      <c r="AI4" s="77" t="s">
        <v>180</v>
      </c>
      <c r="AJ4" s="78"/>
      <c r="AK4" s="79"/>
    </row>
    <row r="5" spans="1:37" ht="42.75" x14ac:dyDescent="0.45">
      <c r="A5" s="4"/>
      <c r="B5" s="4"/>
      <c r="C5" s="5" t="s">
        <v>5</v>
      </c>
      <c r="D5" s="6" t="s">
        <v>6</v>
      </c>
      <c r="E5" s="58" t="s">
        <v>182</v>
      </c>
      <c r="F5" s="5" t="s">
        <v>7</v>
      </c>
      <c r="G5" s="3"/>
      <c r="H5" s="7" t="s">
        <v>5</v>
      </c>
      <c r="I5" s="8" t="s">
        <v>185</v>
      </c>
      <c r="J5" s="8" t="s">
        <v>159</v>
      </c>
      <c r="K5" s="8" t="s">
        <v>160</v>
      </c>
      <c r="L5" s="8" t="s">
        <v>171</v>
      </c>
      <c r="M5" s="7" t="s">
        <v>8</v>
      </c>
      <c r="N5" s="3"/>
      <c r="O5" s="9" t="s">
        <v>5</v>
      </c>
      <c r="P5" s="59" t="s">
        <v>183</v>
      </c>
      <c r="Q5" s="9" t="s">
        <v>9</v>
      </c>
      <c r="R5" s="9" t="s">
        <v>7</v>
      </c>
      <c r="S5" s="3"/>
      <c r="T5" s="31" t="s">
        <v>5</v>
      </c>
      <c r="U5" s="60" t="s">
        <v>183</v>
      </c>
      <c r="V5" s="31" t="s">
        <v>6</v>
      </c>
      <c r="W5" s="3"/>
      <c r="X5" s="10" t="s">
        <v>10</v>
      </c>
      <c r="Y5" s="10" t="s">
        <v>11</v>
      </c>
      <c r="Z5" s="10" t="s">
        <v>12</v>
      </c>
      <c r="AA5" s="11" t="s">
        <v>13</v>
      </c>
      <c r="AB5" s="3"/>
      <c r="AC5" s="48" t="s">
        <v>5</v>
      </c>
      <c r="AD5" s="49" t="s">
        <v>173</v>
      </c>
      <c r="AE5" s="49" t="s">
        <v>174</v>
      </c>
      <c r="AF5" s="49" t="s">
        <v>175</v>
      </c>
      <c r="AG5" s="49" t="s">
        <v>176</v>
      </c>
      <c r="AI5" s="57" t="s">
        <v>181</v>
      </c>
      <c r="AJ5" s="57" t="s">
        <v>7</v>
      </c>
      <c r="AK5" s="61" t="s">
        <v>184</v>
      </c>
    </row>
    <row r="6" spans="1:37" x14ac:dyDescent="0.45">
      <c r="A6" s="12">
        <v>45597</v>
      </c>
      <c r="B6" s="1" t="s">
        <v>14</v>
      </c>
      <c r="C6" s="13"/>
      <c r="D6" s="13"/>
      <c r="E6" s="13"/>
      <c r="F6" s="13"/>
      <c r="H6" s="4"/>
      <c r="I6" s="4"/>
      <c r="J6" s="4"/>
      <c r="K6" s="4"/>
      <c r="L6" s="4"/>
      <c r="M6" s="4"/>
      <c r="O6" s="4"/>
      <c r="P6" s="4"/>
      <c r="Q6" s="4"/>
      <c r="R6" s="4"/>
      <c r="T6" s="4"/>
      <c r="U6" s="4"/>
      <c r="V6" s="4"/>
      <c r="X6" s="4">
        <v>78</v>
      </c>
      <c r="Y6" s="4">
        <v>177</v>
      </c>
      <c r="Z6" s="4"/>
      <c r="AA6" s="4"/>
      <c r="AC6" s="52"/>
      <c r="AD6" s="53"/>
      <c r="AE6" s="53"/>
      <c r="AF6" s="53"/>
      <c r="AG6" s="53"/>
      <c r="AI6" s="4"/>
      <c r="AJ6" s="4"/>
      <c r="AK6" s="4"/>
    </row>
    <row r="7" spans="1:37" x14ac:dyDescent="0.45">
      <c r="A7" s="12">
        <v>45627</v>
      </c>
      <c r="B7" s="1" t="s">
        <v>15</v>
      </c>
      <c r="C7" s="14">
        <v>3</v>
      </c>
      <c r="D7" s="14">
        <v>23</v>
      </c>
      <c r="E7" s="14">
        <v>15</v>
      </c>
      <c r="F7" s="14">
        <v>275</v>
      </c>
      <c r="H7" s="64">
        <v>3</v>
      </c>
      <c r="I7" s="64"/>
      <c r="J7" s="64"/>
      <c r="K7" s="64"/>
      <c r="L7" s="64"/>
      <c r="M7" s="64">
        <v>5506</v>
      </c>
      <c r="O7" s="65"/>
      <c r="P7" s="65"/>
      <c r="Q7" s="65"/>
      <c r="R7" s="65"/>
      <c r="T7" s="66"/>
      <c r="U7" s="66"/>
      <c r="V7" s="66"/>
      <c r="X7" s="67">
        <v>68</v>
      </c>
      <c r="Y7" s="67">
        <v>74</v>
      </c>
      <c r="Z7" s="67"/>
      <c r="AA7" s="67"/>
      <c r="AC7" s="52"/>
      <c r="AD7" s="53"/>
      <c r="AE7" s="53"/>
      <c r="AF7" s="53"/>
      <c r="AG7" s="53"/>
      <c r="AI7" s="4"/>
      <c r="AJ7" s="4"/>
      <c r="AK7" s="4"/>
    </row>
    <row r="8" spans="1:37" x14ac:dyDescent="0.45">
      <c r="A8" s="12">
        <v>45658</v>
      </c>
      <c r="B8" s="1" t="s">
        <v>16</v>
      </c>
      <c r="C8" s="13">
        <v>0</v>
      </c>
      <c r="D8" s="13">
        <v>0</v>
      </c>
      <c r="E8" s="13">
        <v>19</v>
      </c>
      <c r="F8" s="13"/>
      <c r="H8" s="4">
        <v>2</v>
      </c>
      <c r="I8" s="4">
        <v>27</v>
      </c>
      <c r="J8" s="4">
        <v>56</v>
      </c>
      <c r="K8" s="4">
        <v>27</v>
      </c>
      <c r="L8" s="4">
        <v>39</v>
      </c>
      <c r="M8" s="4">
        <v>998</v>
      </c>
      <c r="O8" s="4"/>
      <c r="P8" s="4"/>
      <c r="Q8" s="4"/>
      <c r="R8" s="4"/>
      <c r="T8" s="4"/>
      <c r="U8" s="4"/>
      <c r="V8" s="4"/>
      <c r="X8" s="15">
        <v>91</v>
      </c>
      <c r="Y8" s="15">
        <v>276</v>
      </c>
      <c r="Z8" s="15"/>
      <c r="AA8" s="16"/>
      <c r="AC8" s="52"/>
      <c r="AD8" s="53"/>
      <c r="AE8" s="53"/>
      <c r="AF8" s="53"/>
      <c r="AG8" s="53"/>
      <c r="AI8" s="4"/>
      <c r="AJ8" s="4"/>
      <c r="AK8" s="4"/>
    </row>
    <row r="9" spans="1:37" x14ac:dyDescent="0.45">
      <c r="A9" s="12">
        <v>45689</v>
      </c>
      <c r="B9" s="1" t="s">
        <v>17</v>
      </c>
      <c r="C9" s="14">
        <v>8</v>
      </c>
      <c r="D9" s="14">
        <v>23</v>
      </c>
      <c r="E9" s="14">
        <v>23</v>
      </c>
      <c r="F9" s="14">
        <v>154</v>
      </c>
      <c r="H9" s="64">
        <v>9</v>
      </c>
      <c r="I9" s="64">
        <v>50</v>
      </c>
      <c r="J9" s="64">
        <v>85</v>
      </c>
      <c r="K9" s="64">
        <v>48</v>
      </c>
      <c r="L9" s="64">
        <v>167</v>
      </c>
      <c r="M9" s="64">
        <v>3962</v>
      </c>
      <c r="O9" s="65">
        <v>12</v>
      </c>
      <c r="P9" s="65">
        <v>6</v>
      </c>
      <c r="Q9" s="65">
        <v>107</v>
      </c>
      <c r="R9" s="65">
        <v>173</v>
      </c>
      <c r="T9" s="66"/>
      <c r="U9" s="66"/>
      <c r="V9" s="66"/>
      <c r="X9" s="68">
        <v>140</v>
      </c>
      <c r="Y9" s="68">
        <v>295</v>
      </c>
      <c r="Z9" s="68"/>
      <c r="AA9" s="69"/>
      <c r="AC9" s="52"/>
      <c r="AD9" s="53"/>
      <c r="AE9" s="53"/>
      <c r="AF9" s="53"/>
      <c r="AG9" s="53"/>
      <c r="AI9" s="4"/>
      <c r="AJ9" s="4"/>
      <c r="AK9" s="4"/>
    </row>
    <row r="10" spans="1:37" x14ac:dyDescent="0.45">
      <c r="A10" s="12">
        <v>45717</v>
      </c>
      <c r="B10" s="1" t="s">
        <v>18</v>
      </c>
      <c r="C10" s="13">
        <v>8</v>
      </c>
      <c r="D10" s="13">
        <v>54</v>
      </c>
      <c r="E10" s="13">
        <v>30</v>
      </c>
      <c r="F10" s="13">
        <v>275</v>
      </c>
      <c r="H10" s="4">
        <v>8</v>
      </c>
      <c r="I10" s="4">
        <v>13</v>
      </c>
      <c r="J10" s="4">
        <v>66</v>
      </c>
      <c r="K10" s="4">
        <v>27</v>
      </c>
      <c r="L10" s="4">
        <v>111</v>
      </c>
      <c r="M10" s="4">
        <v>1810</v>
      </c>
      <c r="O10" s="4">
        <v>8</v>
      </c>
      <c r="P10" s="4">
        <v>14</v>
      </c>
      <c r="Q10" s="4">
        <v>68</v>
      </c>
      <c r="R10" s="4">
        <v>116</v>
      </c>
      <c r="T10" s="4">
        <v>2</v>
      </c>
      <c r="U10" s="4">
        <v>4</v>
      </c>
      <c r="V10" s="4"/>
      <c r="X10" s="15">
        <v>122</v>
      </c>
      <c r="Y10" s="15">
        <v>136</v>
      </c>
      <c r="Z10" s="15"/>
      <c r="AA10" s="16">
        <v>15</v>
      </c>
      <c r="AC10" s="52"/>
      <c r="AD10" s="53"/>
      <c r="AE10" s="53"/>
      <c r="AF10" s="53"/>
      <c r="AG10" s="54"/>
      <c r="AI10" s="4"/>
      <c r="AJ10" s="4"/>
      <c r="AK10" s="4"/>
    </row>
    <row r="11" spans="1:37" x14ac:dyDescent="0.45">
      <c r="A11" s="12">
        <v>45748</v>
      </c>
      <c r="B11" s="1" t="s">
        <v>19</v>
      </c>
      <c r="C11" s="14">
        <v>9</v>
      </c>
      <c r="D11" s="14">
        <v>65</v>
      </c>
      <c r="E11" s="14">
        <v>37</v>
      </c>
      <c r="F11" s="14">
        <v>447</v>
      </c>
      <c r="H11" s="64">
        <v>9</v>
      </c>
      <c r="I11" s="64">
        <v>20</v>
      </c>
      <c r="J11" s="64">
        <v>105</v>
      </c>
      <c r="K11" s="64">
        <v>68</v>
      </c>
      <c r="L11" s="64">
        <v>221</v>
      </c>
      <c r="M11" s="64">
        <v>3052</v>
      </c>
      <c r="O11" s="65">
        <v>9</v>
      </c>
      <c r="P11" s="65">
        <v>22</v>
      </c>
      <c r="Q11" s="65">
        <v>112</v>
      </c>
      <c r="R11" s="65">
        <v>170</v>
      </c>
      <c r="T11" s="66">
        <v>9</v>
      </c>
      <c r="U11" s="66">
        <v>7</v>
      </c>
      <c r="V11" s="66">
        <v>5</v>
      </c>
      <c r="X11" s="68">
        <v>184</v>
      </c>
      <c r="Y11" s="68">
        <v>213</v>
      </c>
      <c r="Z11" s="68">
        <v>3</v>
      </c>
      <c r="AA11" s="69">
        <v>15</v>
      </c>
      <c r="AC11" s="52"/>
      <c r="AD11" s="53"/>
      <c r="AE11" s="53"/>
      <c r="AF11" s="53"/>
      <c r="AG11" s="54"/>
      <c r="AI11" s="4"/>
      <c r="AJ11" s="4"/>
      <c r="AK11" s="4"/>
    </row>
    <row r="12" spans="1:37" x14ac:dyDescent="0.45">
      <c r="A12" s="12">
        <v>45778</v>
      </c>
      <c r="B12" s="1" t="s">
        <v>20</v>
      </c>
      <c r="C12" s="13">
        <v>12</v>
      </c>
      <c r="D12" s="13">
        <v>152</v>
      </c>
      <c r="E12" s="13">
        <v>46</v>
      </c>
      <c r="F12" s="13">
        <v>1072</v>
      </c>
      <c r="H12" s="4">
        <v>14</v>
      </c>
      <c r="I12" s="4">
        <v>9</v>
      </c>
      <c r="J12" s="4">
        <v>62</v>
      </c>
      <c r="K12" s="4">
        <v>38</v>
      </c>
      <c r="L12" s="4">
        <v>282</v>
      </c>
      <c r="M12" s="4">
        <v>4080</v>
      </c>
      <c r="O12" s="4">
        <v>14</v>
      </c>
      <c r="P12" s="4">
        <v>81</v>
      </c>
      <c r="Q12" s="4">
        <v>406</v>
      </c>
      <c r="R12" s="4">
        <v>551</v>
      </c>
      <c r="T12" s="4">
        <v>14</v>
      </c>
      <c r="U12" s="4">
        <v>12</v>
      </c>
      <c r="V12" s="4">
        <v>19</v>
      </c>
      <c r="X12" s="15">
        <v>243</v>
      </c>
      <c r="Y12" s="15">
        <v>262</v>
      </c>
      <c r="Z12" s="15">
        <v>10</v>
      </c>
      <c r="AA12" s="16">
        <v>24</v>
      </c>
      <c r="AC12" s="50">
        <v>3</v>
      </c>
      <c r="AD12" s="51">
        <v>74</v>
      </c>
      <c r="AE12" s="51">
        <v>74</v>
      </c>
      <c r="AF12" s="51">
        <v>64</v>
      </c>
      <c r="AG12" s="51">
        <v>64</v>
      </c>
      <c r="AI12" s="4">
        <v>1</v>
      </c>
      <c r="AJ12" s="4">
        <v>28</v>
      </c>
      <c r="AK12" s="4">
        <v>17</v>
      </c>
    </row>
    <row r="13" spans="1:37" x14ac:dyDescent="0.45">
      <c r="A13" s="12">
        <v>45809</v>
      </c>
      <c r="B13" s="1" t="s">
        <v>21</v>
      </c>
      <c r="C13" s="14">
        <v>10</v>
      </c>
      <c r="D13" s="14">
        <v>109</v>
      </c>
      <c r="E13" s="14">
        <v>50</v>
      </c>
      <c r="F13" s="14">
        <v>844</v>
      </c>
      <c r="H13" s="64">
        <v>10</v>
      </c>
      <c r="I13" s="64">
        <v>9</v>
      </c>
      <c r="J13" s="64">
        <v>96</v>
      </c>
      <c r="K13" s="64">
        <v>48</v>
      </c>
      <c r="L13" s="64">
        <v>249</v>
      </c>
      <c r="M13" s="64">
        <v>4496</v>
      </c>
      <c r="O13" s="65">
        <v>10</v>
      </c>
      <c r="P13" s="65">
        <v>91</v>
      </c>
      <c r="Q13" s="65">
        <v>202</v>
      </c>
      <c r="R13" s="65">
        <v>281</v>
      </c>
      <c r="T13" s="66">
        <v>10</v>
      </c>
      <c r="U13" s="66">
        <v>13</v>
      </c>
      <c r="V13" s="66">
        <v>22</v>
      </c>
      <c r="X13" s="68">
        <v>167</v>
      </c>
      <c r="Y13" s="68">
        <v>191</v>
      </c>
      <c r="Z13" s="68">
        <v>20</v>
      </c>
      <c r="AA13" s="69">
        <v>26</v>
      </c>
      <c r="AC13" s="71">
        <v>2</v>
      </c>
      <c r="AD13" s="72">
        <v>134</v>
      </c>
      <c r="AE13" s="72">
        <f>AD13-AD12</f>
        <v>60</v>
      </c>
      <c r="AF13" s="72">
        <v>111</v>
      </c>
      <c r="AG13" s="72">
        <f>AF13-AF12</f>
        <v>47</v>
      </c>
      <c r="AI13" s="4">
        <v>0</v>
      </c>
      <c r="AJ13" s="4">
        <v>31</v>
      </c>
      <c r="AK13" s="4">
        <v>17</v>
      </c>
    </row>
    <row r="14" spans="1:37" x14ac:dyDescent="0.45">
      <c r="A14" s="12">
        <v>45839</v>
      </c>
      <c r="B14" s="1" t="s">
        <v>22</v>
      </c>
      <c r="C14" s="13"/>
      <c r="D14" s="13"/>
      <c r="E14" s="13"/>
      <c r="F14" s="13"/>
      <c r="H14" s="4"/>
      <c r="I14" s="4"/>
      <c r="J14" s="4"/>
      <c r="K14" s="4"/>
      <c r="L14" s="4"/>
      <c r="M14" s="4"/>
      <c r="O14" s="4"/>
      <c r="P14" s="4"/>
      <c r="Q14" s="4"/>
      <c r="R14" s="4"/>
      <c r="T14" s="4"/>
      <c r="U14" s="4"/>
      <c r="V14" s="4"/>
      <c r="X14" s="15"/>
      <c r="Y14" s="15"/>
      <c r="Z14" s="15"/>
      <c r="AA14" s="16"/>
      <c r="AC14" s="50"/>
      <c r="AD14" s="51"/>
      <c r="AE14" s="51"/>
      <c r="AF14" s="51"/>
      <c r="AG14" s="51"/>
      <c r="AI14" s="4"/>
      <c r="AJ14" s="4"/>
      <c r="AK14" s="4"/>
    </row>
    <row r="15" spans="1:37" x14ac:dyDescent="0.45">
      <c r="A15" s="12">
        <v>45870</v>
      </c>
      <c r="B15" s="1" t="s">
        <v>23</v>
      </c>
      <c r="C15" s="14"/>
      <c r="D15" s="14"/>
      <c r="E15" s="14"/>
      <c r="F15" s="14"/>
      <c r="H15" s="64"/>
      <c r="I15" s="64"/>
      <c r="J15" s="64"/>
      <c r="K15" s="64"/>
      <c r="L15" s="64"/>
      <c r="M15" s="64"/>
      <c r="O15" s="65"/>
      <c r="P15" s="65"/>
      <c r="Q15" s="65"/>
      <c r="R15" s="65"/>
      <c r="T15" s="66"/>
      <c r="U15" s="66"/>
      <c r="V15" s="66"/>
      <c r="X15" s="68"/>
      <c r="Y15" s="68"/>
      <c r="Z15" s="68"/>
      <c r="AA15" s="69"/>
      <c r="AC15" s="71"/>
      <c r="AD15" s="72"/>
      <c r="AE15" s="72"/>
      <c r="AF15" s="72"/>
      <c r="AG15" s="72"/>
      <c r="AI15" s="4"/>
      <c r="AJ15" s="4"/>
      <c r="AK15" s="4"/>
    </row>
    <row r="16" spans="1:37" x14ac:dyDescent="0.45">
      <c r="A16" s="12">
        <v>45901</v>
      </c>
      <c r="B16" s="1" t="s">
        <v>24</v>
      </c>
      <c r="C16" s="13"/>
      <c r="D16" s="13"/>
      <c r="E16" s="13"/>
      <c r="F16" s="13"/>
      <c r="H16" s="4"/>
      <c r="I16" s="4"/>
      <c r="J16" s="4"/>
      <c r="K16" s="4"/>
      <c r="L16" s="4"/>
      <c r="M16" s="4"/>
      <c r="O16" s="4"/>
      <c r="P16" s="4"/>
      <c r="Q16" s="4"/>
      <c r="R16" s="4"/>
      <c r="T16" s="4"/>
      <c r="U16" s="4"/>
      <c r="V16" s="4"/>
      <c r="X16" s="15"/>
      <c r="Y16" s="15"/>
      <c r="Z16" s="15"/>
      <c r="AA16" s="16"/>
      <c r="AC16" s="50"/>
      <c r="AD16" s="51"/>
      <c r="AE16" s="51"/>
      <c r="AF16" s="51"/>
      <c r="AG16" s="51"/>
      <c r="AI16" s="4"/>
      <c r="AJ16" s="4"/>
      <c r="AK16" s="4"/>
    </row>
    <row r="17" spans="1:37" x14ac:dyDescent="0.45">
      <c r="A17" s="12">
        <v>45931</v>
      </c>
      <c r="B17" s="1" t="s">
        <v>25</v>
      </c>
      <c r="C17" s="14"/>
      <c r="D17" s="14"/>
      <c r="E17" s="14"/>
      <c r="F17" s="14"/>
      <c r="H17" s="64"/>
      <c r="I17" s="64"/>
      <c r="J17" s="64"/>
      <c r="K17" s="64"/>
      <c r="L17" s="64"/>
      <c r="M17" s="64"/>
      <c r="O17" s="65"/>
      <c r="P17" s="65"/>
      <c r="Q17" s="65"/>
      <c r="R17" s="65"/>
      <c r="T17" s="66"/>
      <c r="U17" s="66"/>
      <c r="V17" s="66"/>
      <c r="X17" s="68"/>
      <c r="Y17" s="68"/>
      <c r="Z17" s="68"/>
      <c r="AA17" s="69"/>
      <c r="AC17" s="71"/>
      <c r="AD17" s="72"/>
      <c r="AE17" s="72"/>
      <c r="AF17" s="72"/>
      <c r="AG17" s="72"/>
      <c r="AI17" s="4"/>
      <c r="AJ17" s="4"/>
      <c r="AK17" s="4"/>
    </row>
    <row r="18" spans="1:37" x14ac:dyDescent="0.45">
      <c r="A18" s="12">
        <v>45962</v>
      </c>
      <c r="B18" s="1" t="s">
        <v>26</v>
      </c>
      <c r="C18" s="13"/>
      <c r="D18" s="13"/>
      <c r="E18" s="13"/>
      <c r="F18" s="13"/>
      <c r="H18" s="4"/>
      <c r="I18" s="4"/>
      <c r="J18" s="4"/>
      <c r="K18" s="4"/>
      <c r="L18" s="4"/>
      <c r="M18" s="4"/>
      <c r="O18" s="4"/>
      <c r="P18" s="4"/>
      <c r="Q18" s="4"/>
      <c r="R18" s="4"/>
      <c r="T18" s="4"/>
      <c r="U18" s="4"/>
      <c r="V18" s="4"/>
      <c r="X18" s="17"/>
      <c r="Y18" s="17"/>
      <c r="Z18" s="17"/>
      <c r="AA18" s="17"/>
      <c r="AC18" s="50"/>
      <c r="AD18" s="51"/>
      <c r="AE18" s="51"/>
      <c r="AF18" s="51"/>
      <c r="AG18" s="51"/>
      <c r="AI18" s="4"/>
      <c r="AJ18" s="4"/>
      <c r="AK18" s="4"/>
    </row>
    <row r="19" spans="1:37" x14ac:dyDescent="0.45">
      <c r="A19" s="12">
        <v>45992</v>
      </c>
      <c r="B19" s="1" t="s">
        <v>27</v>
      </c>
      <c r="C19" s="14"/>
      <c r="D19" s="14"/>
      <c r="E19" s="14"/>
      <c r="F19" s="14"/>
      <c r="H19" s="64"/>
      <c r="I19" s="64"/>
      <c r="J19" s="64"/>
      <c r="K19" s="64"/>
      <c r="L19" s="64"/>
      <c r="M19" s="64"/>
      <c r="O19" s="65"/>
      <c r="P19" s="65"/>
      <c r="Q19" s="65"/>
      <c r="R19" s="65"/>
      <c r="T19" s="66"/>
      <c r="U19" s="66"/>
      <c r="V19" s="66"/>
      <c r="X19" s="70"/>
      <c r="Y19" s="70"/>
      <c r="Z19" s="70"/>
      <c r="AA19" s="70"/>
      <c r="AC19" s="71"/>
      <c r="AD19" s="72"/>
      <c r="AE19" s="72"/>
      <c r="AF19" s="72"/>
      <c r="AG19" s="72"/>
      <c r="AI19" s="4"/>
      <c r="AJ19" s="4"/>
      <c r="AK19" s="4"/>
    </row>
    <row r="20" spans="1:37" x14ac:dyDescent="0.45">
      <c r="A20" s="12">
        <v>46023</v>
      </c>
      <c r="B20" s="1" t="s">
        <v>28</v>
      </c>
      <c r="C20" s="13"/>
      <c r="D20" s="13"/>
      <c r="E20" s="13"/>
      <c r="F20" s="13"/>
      <c r="H20" s="4"/>
      <c r="I20" s="4"/>
      <c r="J20" s="4"/>
      <c r="K20" s="4"/>
      <c r="L20" s="4"/>
      <c r="M20" s="4"/>
      <c r="O20" s="4"/>
      <c r="P20" s="4"/>
      <c r="Q20" s="4"/>
      <c r="R20" s="4"/>
      <c r="T20" s="4"/>
      <c r="U20" s="4"/>
      <c r="V20" s="4"/>
      <c r="X20" s="4"/>
      <c r="Y20" s="4"/>
      <c r="Z20" s="4"/>
      <c r="AA20" s="4"/>
      <c r="AC20" s="50"/>
      <c r="AD20" s="51"/>
      <c r="AE20" s="51"/>
      <c r="AF20" s="51"/>
      <c r="AG20" s="51"/>
      <c r="AI20" s="4"/>
      <c r="AJ20" s="4"/>
      <c r="AK20" s="4"/>
    </row>
    <row r="21" spans="1:37" x14ac:dyDescent="0.45">
      <c r="A21" s="12">
        <v>46054</v>
      </c>
      <c r="B21" s="1" t="s">
        <v>29</v>
      </c>
      <c r="C21" s="14"/>
      <c r="D21" s="14"/>
      <c r="E21" s="14"/>
      <c r="F21" s="14"/>
      <c r="H21" s="64"/>
      <c r="I21" s="64"/>
      <c r="J21" s="64"/>
      <c r="K21" s="64"/>
      <c r="L21" s="64"/>
      <c r="M21" s="64"/>
      <c r="O21" s="65"/>
      <c r="P21" s="65"/>
      <c r="Q21" s="65"/>
      <c r="R21" s="65"/>
      <c r="T21" s="66"/>
      <c r="U21" s="66"/>
      <c r="V21" s="66"/>
      <c r="X21" s="70"/>
      <c r="Y21" s="70"/>
      <c r="Z21" s="70"/>
      <c r="AA21" s="70"/>
      <c r="AC21" s="71"/>
      <c r="AD21" s="72"/>
      <c r="AE21" s="72"/>
      <c r="AF21" s="72"/>
      <c r="AG21" s="72"/>
      <c r="AI21" s="4"/>
      <c r="AJ21" s="4"/>
      <c r="AK21" s="4"/>
    </row>
    <row r="22" spans="1:37" x14ac:dyDescent="0.45">
      <c r="A22" s="12">
        <v>46082</v>
      </c>
      <c r="B22" s="1" t="s">
        <v>30</v>
      </c>
      <c r="C22" s="13"/>
      <c r="D22" s="13"/>
      <c r="E22" s="13"/>
      <c r="F22" s="13"/>
      <c r="H22" s="4"/>
      <c r="I22" s="4"/>
      <c r="J22" s="4"/>
      <c r="K22" s="4"/>
      <c r="L22" s="4"/>
      <c r="M22" s="4"/>
      <c r="O22" s="4"/>
      <c r="P22" s="4"/>
      <c r="Q22" s="4"/>
      <c r="R22" s="4"/>
      <c r="T22" s="4"/>
      <c r="U22" s="4"/>
      <c r="V22" s="4"/>
      <c r="X22" s="4"/>
      <c r="Y22" s="4"/>
      <c r="Z22" s="4"/>
      <c r="AA22" s="4"/>
      <c r="AC22" s="50"/>
      <c r="AD22" s="51"/>
      <c r="AE22" s="51"/>
      <c r="AF22" s="51"/>
      <c r="AG22" s="51"/>
      <c r="AI22" s="4"/>
      <c r="AJ22" s="4"/>
      <c r="AK22" s="4"/>
    </row>
    <row r="23" spans="1:37" x14ac:dyDescent="0.45">
      <c r="A23" s="12">
        <v>46113</v>
      </c>
      <c r="B23" s="1" t="s">
        <v>31</v>
      </c>
      <c r="C23" s="14"/>
      <c r="D23" s="14"/>
      <c r="E23" s="14"/>
      <c r="F23" s="14"/>
      <c r="H23" s="64"/>
      <c r="I23" s="64"/>
      <c r="J23" s="64"/>
      <c r="K23" s="64"/>
      <c r="L23" s="64"/>
      <c r="M23" s="64"/>
      <c r="O23" s="65"/>
      <c r="P23" s="65"/>
      <c r="Q23" s="65"/>
      <c r="R23" s="65"/>
      <c r="T23" s="66"/>
      <c r="U23" s="66"/>
      <c r="V23" s="66"/>
      <c r="X23" s="70"/>
      <c r="Y23" s="70"/>
      <c r="Z23" s="70"/>
      <c r="AA23" s="70"/>
      <c r="AC23" s="71"/>
      <c r="AD23" s="72"/>
      <c r="AE23" s="72"/>
      <c r="AF23" s="72"/>
      <c r="AG23" s="72"/>
      <c r="AI23" s="4"/>
      <c r="AJ23" s="4"/>
      <c r="AK23" s="4"/>
    </row>
    <row r="24" spans="1:37" x14ac:dyDescent="0.45">
      <c r="A24" s="12">
        <v>46143</v>
      </c>
      <c r="B24" s="1" t="s">
        <v>32</v>
      </c>
      <c r="C24" s="13"/>
      <c r="D24" s="13"/>
      <c r="E24" s="13"/>
      <c r="F24" s="13"/>
      <c r="H24" s="4"/>
      <c r="I24" s="4"/>
      <c r="J24" s="4"/>
      <c r="K24" s="4"/>
      <c r="L24" s="4"/>
      <c r="M24" s="4"/>
      <c r="O24" s="4"/>
      <c r="P24" s="4"/>
      <c r="Q24" s="4"/>
      <c r="R24" s="4"/>
      <c r="T24" s="4"/>
      <c r="U24" s="4"/>
      <c r="V24" s="4"/>
      <c r="X24" s="4"/>
      <c r="Y24" s="4"/>
      <c r="Z24" s="4"/>
      <c r="AA24" s="4"/>
      <c r="AC24" s="50"/>
      <c r="AD24" s="51"/>
      <c r="AE24" s="51"/>
      <c r="AF24" s="51"/>
      <c r="AG24" s="51"/>
      <c r="AI24" s="4"/>
      <c r="AJ24" s="4"/>
      <c r="AK24" s="4"/>
    </row>
    <row r="25" spans="1:37" x14ac:dyDescent="0.45">
      <c r="A25" s="12">
        <v>46174</v>
      </c>
      <c r="B25" s="1" t="s">
        <v>33</v>
      </c>
      <c r="C25" s="14"/>
      <c r="D25" s="14"/>
      <c r="E25" s="14"/>
      <c r="F25" s="14"/>
      <c r="H25" s="64"/>
      <c r="I25" s="64"/>
      <c r="J25" s="64"/>
      <c r="K25" s="64"/>
      <c r="L25" s="64"/>
      <c r="M25" s="64"/>
      <c r="O25" s="65"/>
      <c r="P25" s="65"/>
      <c r="Q25" s="65"/>
      <c r="R25" s="65"/>
      <c r="T25" s="66"/>
      <c r="U25" s="66"/>
      <c r="V25" s="66"/>
      <c r="X25" s="70"/>
      <c r="Y25" s="70"/>
      <c r="Z25" s="70"/>
      <c r="AA25" s="70"/>
      <c r="AC25" s="71"/>
      <c r="AD25" s="72"/>
      <c r="AE25" s="72"/>
      <c r="AF25" s="72"/>
      <c r="AG25" s="72"/>
      <c r="AI25" s="4"/>
      <c r="AJ25" s="4"/>
      <c r="AK25" s="4"/>
    </row>
    <row r="26" spans="1:37" x14ac:dyDescent="0.45">
      <c r="A26" s="12">
        <v>46204</v>
      </c>
      <c r="B26" s="1" t="s">
        <v>34</v>
      </c>
      <c r="C26" s="13"/>
      <c r="D26" s="13"/>
      <c r="E26" s="13"/>
      <c r="F26" s="13"/>
      <c r="H26" s="4"/>
      <c r="I26" s="4"/>
      <c r="J26" s="4"/>
      <c r="K26" s="4"/>
      <c r="L26" s="4"/>
      <c r="M26" s="4"/>
      <c r="O26" s="4"/>
      <c r="P26" s="4"/>
      <c r="Q26" s="4"/>
      <c r="R26" s="4"/>
      <c r="T26" s="4"/>
      <c r="U26" s="4"/>
      <c r="V26" s="4"/>
      <c r="X26" s="4"/>
      <c r="Y26" s="4"/>
      <c r="Z26" s="4"/>
      <c r="AA26" s="4"/>
      <c r="AC26" s="50"/>
      <c r="AD26" s="51"/>
      <c r="AE26" s="51"/>
      <c r="AF26" s="51"/>
      <c r="AG26" s="51"/>
      <c r="AI26" s="4"/>
      <c r="AJ26" s="4"/>
      <c r="AK26" s="4"/>
    </row>
    <row r="27" spans="1:37" x14ac:dyDescent="0.45">
      <c r="A27" s="12">
        <v>46235</v>
      </c>
      <c r="B27" s="1" t="s">
        <v>35</v>
      </c>
      <c r="C27" s="14"/>
      <c r="D27" s="14"/>
      <c r="E27" s="14"/>
      <c r="F27" s="14"/>
      <c r="H27" s="64"/>
      <c r="I27" s="64"/>
      <c r="J27" s="64"/>
      <c r="K27" s="64"/>
      <c r="L27" s="64"/>
      <c r="M27" s="64"/>
      <c r="O27" s="65"/>
      <c r="P27" s="65"/>
      <c r="Q27" s="65"/>
      <c r="R27" s="65"/>
      <c r="T27" s="66"/>
      <c r="U27" s="66"/>
      <c r="V27" s="66"/>
      <c r="X27" s="70"/>
      <c r="Y27" s="70"/>
      <c r="Z27" s="70"/>
      <c r="AA27" s="70"/>
      <c r="AC27" s="71"/>
      <c r="AD27" s="72"/>
      <c r="AE27" s="72"/>
      <c r="AF27" s="72"/>
      <c r="AG27" s="72"/>
      <c r="AI27" s="4"/>
      <c r="AJ27" s="4"/>
      <c r="AK27" s="4"/>
    </row>
    <row r="28" spans="1:37" x14ac:dyDescent="0.45">
      <c r="A28" s="12">
        <v>46266</v>
      </c>
      <c r="B28" s="1" t="s">
        <v>36</v>
      </c>
      <c r="C28" s="13"/>
      <c r="D28" s="13"/>
      <c r="E28" s="13"/>
      <c r="F28" s="13"/>
      <c r="H28" s="4"/>
      <c r="I28" s="4"/>
      <c r="J28" s="4"/>
      <c r="K28" s="4"/>
      <c r="L28" s="4"/>
      <c r="M28" s="4"/>
      <c r="O28" s="4"/>
      <c r="P28" s="4"/>
      <c r="Q28" s="4"/>
      <c r="R28" s="4"/>
      <c r="T28" s="4"/>
      <c r="U28" s="4"/>
      <c r="V28" s="4"/>
      <c r="X28" s="4"/>
      <c r="Y28" s="4"/>
      <c r="Z28" s="4"/>
      <c r="AA28" s="4"/>
      <c r="AC28" s="50"/>
      <c r="AD28" s="51"/>
      <c r="AE28" s="51"/>
      <c r="AF28" s="51"/>
      <c r="AG28" s="51"/>
      <c r="AI28" s="4"/>
      <c r="AJ28" s="4"/>
      <c r="AK28" s="4"/>
    </row>
    <row r="29" spans="1:37" x14ac:dyDescent="0.45">
      <c r="A29" s="12">
        <v>46296</v>
      </c>
      <c r="B29" s="1" t="s">
        <v>37</v>
      </c>
      <c r="C29" s="14"/>
      <c r="D29" s="14"/>
      <c r="E29" s="14"/>
      <c r="F29" s="14"/>
      <c r="H29" s="64"/>
      <c r="I29" s="64"/>
      <c r="J29" s="64"/>
      <c r="K29" s="64"/>
      <c r="L29" s="64"/>
      <c r="M29" s="64"/>
      <c r="O29" s="65"/>
      <c r="P29" s="65"/>
      <c r="Q29" s="65"/>
      <c r="R29" s="65"/>
      <c r="T29" s="66"/>
      <c r="U29" s="66"/>
      <c r="V29" s="66"/>
      <c r="X29" s="70"/>
      <c r="Y29" s="70"/>
      <c r="Z29" s="70"/>
      <c r="AA29" s="70"/>
      <c r="AC29" s="71"/>
      <c r="AD29" s="72"/>
      <c r="AE29" s="72"/>
      <c r="AF29" s="72"/>
      <c r="AG29" s="72"/>
      <c r="AI29" s="4"/>
      <c r="AJ29" s="4"/>
      <c r="AK29" s="4"/>
    </row>
    <row r="30" spans="1:37" x14ac:dyDescent="0.45">
      <c r="A30" s="12">
        <v>46327</v>
      </c>
      <c r="B30" s="1" t="s">
        <v>38</v>
      </c>
      <c r="C30" s="13"/>
      <c r="D30" s="13"/>
      <c r="E30" s="13"/>
      <c r="F30" s="13"/>
      <c r="H30" s="4"/>
      <c r="I30" s="4"/>
      <c r="J30" s="4"/>
      <c r="K30" s="4"/>
      <c r="L30" s="4"/>
      <c r="M30" s="4"/>
      <c r="O30" s="4"/>
      <c r="P30" s="4"/>
      <c r="Q30" s="4"/>
      <c r="R30" s="4"/>
      <c r="T30" s="4"/>
      <c r="U30" s="4"/>
      <c r="V30" s="4"/>
      <c r="X30" s="4"/>
      <c r="Y30" s="4"/>
      <c r="Z30" s="4"/>
      <c r="AA30" s="4"/>
      <c r="AC30" s="50"/>
      <c r="AD30" s="51"/>
      <c r="AE30" s="51"/>
      <c r="AF30" s="51"/>
      <c r="AG30" s="51"/>
      <c r="AI30" s="4"/>
      <c r="AJ30" s="4"/>
      <c r="AK30" s="4"/>
    </row>
    <row r="31" spans="1:37" x14ac:dyDescent="0.45">
      <c r="A31" s="12">
        <v>46357</v>
      </c>
      <c r="B31" s="1" t="s">
        <v>39</v>
      </c>
      <c r="C31" s="14"/>
      <c r="D31" s="14"/>
      <c r="E31" s="14"/>
      <c r="F31" s="14"/>
      <c r="H31" s="64"/>
      <c r="I31" s="64"/>
      <c r="J31" s="64"/>
      <c r="K31" s="64"/>
      <c r="L31" s="64"/>
      <c r="M31" s="64"/>
      <c r="O31" s="65"/>
      <c r="P31" s="65"/>
      <c r="Q31" s="65"/>
      <c r="R31" s="65"/>
      <c r="T31" s="66"/>
      <c r="U31" s="66"/>
      <c r="V31" s="66"/>
      <c r="X31" s="70"/>
      <c r="Y31" s="70"/>
      <c r="Z31" s="70"/>
      <c r="AA31" s="70"/>
      <c r="AC31" s="71"/>
      <c r="AD31" s="72"/>
      <c r="AE31" s="72"/>
      <c r="AF31" s="72"/>
      <c r="AG31" s="72"/>
      <c r="AI31" s="4"/>
      <c r="AJ31" s="4"/>
      <c r="AK31" s="4"/>
    </row>
    <row r="32" spans="1:37" x14ac:dyDescent="0.45">
      <c r="A32" s="12">
        <v>46388</v>
      </c>
      <c r="B32" s="1" t="s">
        <v>40</v>
      </c>
      <c r="C32" s="13"/>
      <c r="D32" s="13"/>
      <c r="E32" s="13"/>
      <c r="F32" s="13"/>
      <c r="H32" s="4"/>
      <c r="I32" s="4"/>
      <c r="J32" s="4"/>
      <c r="K32" s="4"/>
      <c r="L32" s="4"/>
      <c r="M32" s="4"/>
      <c r="O32" s="4"/>
      <c r="P32" s="4"/>
      <c r="Q32" s="4"/>
      <c r="R32" s="4"/>
      <c r="T32" s="4"/>
      <c r="U32" s="4"/>
      <c r="V32" s="4"/>
      <c r="X32" s="4"/>
      <c r="Y32" s="4"/>
      <c r="Z32" s="4"/>
      <c r="AA32" s="4"/>
      <c r="AC32" s="50"/>
      <c r="AD32" s="51"/>
      <c r="AE32" s="51"/>
      <c r="AF32" s="51"/>
      <c r="AG32" s="51"/>
      <c r="AI32" s="4"/>
      <c r="AJ32" s="4"/>
      <c r="AK32" s="4"/>
    </row>
    <row r="33" spans="1:37" x14ac:dyDescent="0.45">
      <c r="A33" s="12">
        <v>46419</v>
      </c>
      <c r="B33" s="1" t="s">
        <v>41</v>
      </c>
      <c r="C33" s="14"/>
      <c r="D33" s="14"/>
      <c r="E33" s="14"/>
      <c r="F33" s="14"/>
      <c r="H33" s="64"/>
      <c r="I33" s="64"/>
      <c r="J33" s="64"/>
      <c r="K33" s="64"/>
      <c r="L33" s="64"/>
      <c r="M33" s="64"/>
      <c r="O33" s="65"/>
      <c r="P33" s="65"/>
      <c r="Q33" s="65"/>
      <c r="R33" s="65"/>
      <c r="T33" s="66"/>
      <c r="U33" s="66"/>
      <c r="V33" s="66"/>
      <c r="X33" s="70"/>
      <c r="Y33" s="70"/>
      <c r="Z33" s="70"/>
      <c r="AA33" s="70"/>
      <c r="AC33" s="71"/>
      <c r="AD33" s="72"/>
      <c r="AE33" s="72"/>
      <c r="AF33" s="72"/>
      <c r="AG33" s="72"/>
      <c r="AI33" s="4"/>
      <c r="AJ33" s="4"/>
      <c r="AK33" s="4"/>
    </row>
    <row r="34" spans="1:37" x14ac:dyDescent="0.45">
      <c r="A34" s="12">
        <v>46447</v>
      </c>
      <c r="B34" s="1" t="s">
        <v>42</v>
      </c>
      <c r="C34" s="13"/>
      <c r="D34" s="13"/>
      <c r="E34" s="13"/>
      <c r="F34" s="13"/>
      <c r="H34" s="4"/>
      <c r="I34" s="4"/>
      <c r="J34" s="4"/>
      <c r="K34" s="4"/>
      <c r="L34" s="4"/>
      <c r="M34" s="4"/>
      <c r="O34" s="4"/>
      <c r="P34" s="4"/>
      <c r="Q34" s="4"/>
      <c r="R34" s="4"/>
      <c r="T34" s="4"/>
      <c r="U34" s="4"/>
      <c r="V34" s="4"/>
      <c r="X34" s="4"/>
      <c r="Y34" s="4"/>
      <c r="Z34" s="4"/>
      <c r="AA34" s="4"/>
      <c r="AC34" s="50"/>
      <c r="AD34" s="51"/>
      <c r="AE34" s="51"/>
      <c r="AF34" s="51"/>
      <c r="AG34" s="51"/>
      <c r="AI34" s="4"/>
      <c r="AJ34" s="4"/>
      <c r="AK34" s="4"/>
    </row>
    <row r="35" spans="1:37" x14ac:dyDescent="0.45">
      <c r="A35" s="12">
        <v>46478</v>
      </c>
      <c r="B35" s="1" t="s">
        <v>43</v>
      </c>
      <c r="C35" s="14"/>
      <c r="D35" s="14"/>
      <c r="E35" s="14"/>
      <c r="F35" s="14"/>
      <c r="H35" s="64"/>
      <c r="I35" s="64"/>
      <c r="J35" s="64"/>
      <c r="K35" s="64"/>
      <c r="L35" s="64"/>
      <c r="M35" s="64"/>
      <c r="O35" s="65"/>
      <c r="P35" s="65"/>
      <c r="Q35" s="65"/>
      <c r="R35" s="65"/>
      <c r="T35" s="66"/>
      <c r="U35" s="66"/>
      <c r="V35" s="66"/>
      <c r="X35" s="70"/>
      <c r="Y35" s="70"/>
      <c r="Z35" s="70"/>
      <c r="AA35" s="70"/>
      <c r="AC35" s="71"/>
      <c r="AD35" s="72"/>
      <c r="AE35" s="72"/>
      <c r="AF35" s="72"/>
      <c r="AG35" s="72"/>
      <c r="AI35" s="4"/>
      <c r="AJ35" s="4"/>
      <c r="AK35" s="4"/>
    </row>
    <row r="36" spans="1:37" x14ac:dyDescent="0.45">
      <c r="A36" s="12">
        <v>46508</v>
      </c>
      <c r="B36" s="1" t="s">
        <v>44</v>
      </c>
      <c r="C36" s="13"/>
      <c r="D36" s="13"/>
      <c r="E36" s="13"/>
      <c r="F36" s="13"/>
      <c r="H36" s="4"/>
      <c r="I36" s="4"/>
      <c r="J36" s="4"/>
      <c r="K36" s="4"/>
      <c r="L36" s="4"/>
      <c r="M36" s="4"/>
      <c r="O36" s="4"/>
      <c r="P36" s="4"/>
      <c r="Q36" s="4"/>
      <c r="R36" s="4"/>
      <c r="T36" s="4"/>
      <c r="U36" s="4"/>
      <c r="V36" s="4"/>
      <c r="X36" s="4"/>
      <c r="Y36" s="4"/>
      <c r="Z36" s="4"/>
      <c r="AA36" s="4"/>
      <c r="AC36" s="50"/>
      <c r="AD36" s="51"/>
      <c r="AE36" s="51"/>
      <c r="AF36" s="51"/>
      <c r="AG36" s="51"/>
      <c r="AI36" s="4"/>
      <c r="AJ36" s="4"/>
      <c r="AK36" s="4"/>
    </row>
    <row r="37" spans="1:37" x14ac:dyDescent="0.45">
      <c r="A37" s="12">
        <v>46539</v>
      </c>
      <c r="B37" s="1" t="s">
        <v>45</v>
      </c>
      <c r="C37" s="14"/>
      <c r="D37" s="14"/>
      <c r="E37" s="14"/>
      <c r="F37" s="14"/>
      <c r="H37" s="64"/>
      <c r="I37" s="64"/>
      <c r="J37" s="64"/>
      <c r="K37" s="64"/>
      <c r="L37" s="64"/>
      <c r="M37" s="64"/>
      <c r="O37" s="65"/>
      <c r="P37" s="65"/>
      <c r="Q37" s="65"/>
      <c r="R37" s="65"/>
      <c r="T37" s="66"/>
      <c r="U37" s="66"/>
      <c r="V37" s="66"/>
      <c r="X37" s="70"/>
      <c r="Y37" s="70"/>
      <c r="Z37" s="70"/>
      <c r="AA37" s="70"/>
      <c r="AC37" s="71"/>
      <c r="AD37" s="72"/>
      <c r="AE37" s="72"/>
      <c r="AF37" s="72"/>
      <c r="AG37" s="72"/>
      <c r="AI37" s="4"/>
      <c r="AJ37" s="4"/>
      <c r="AK37" s="4"/>
    </row>
    <row r="38" spans="1:37" x14ac:dyDescent="0.45">
      <c r="A38" s="12">
        <v>46569</v>
      </c>
      <c r="B38" s="1" t="s">
        <v>46</v>
      </c>
      <c r="C38" s="13"/>
      <c r="D38" s="13"/>
      <c r="E38" s="13"/>
      <c r="F38" s="13"/>
      <c r="H38" s="4"/>
      <c r="I38" s="4"/>
      <c r="J38" s="4"/>
      <c r="K38" s="4"/>
      <c r="L38" s="4"/>
      <c r="M38" s="4"/>
      <c r="O38" s="4"/>
      <c r="P38" s="4"/>
      <c r="Q38" s="4"/>
      <c r="R38" s="4"/>
      <c r="T38" s="4"/>
      <c r="U38" s="4"/>
      <c r="V38" s="4"/>
      <c r="X38" s="4"/>
      <c r="Y38" s="4"/>
      <c r="Z38" s="4"/>
      <c r="AA38" s="4"/>
      <c r="AC38" s="50"/>
      <c r="AD38" s="51"/>
      <c r="AE38" s="51"/>
      <c r="AF38" s="51"/>
      <c r="AG38" s="51"/>
      <c r="AI38" s="4"/>
      <c r="AJ38" s="4"/>
      <c r="AK38" s="4"/>
    </row>
    <row r="39" spans="1:37" x14ac:dyDescent="0.45">
      <c r="A39" s="12">
        <v>46600</v>
      </c>
      <c r="B39" s="1" t="s">
        <v>47</v>
      </c>
      <c r="C39" s="14"/>
      <c r="D39" s="14"/>
      <c r="E39" s="14"/>
      <c r="F39" s="14"/>
      <c r="H39" s="64"/>
      <c r="I39" s="64"/>
      <c r="J39" s="64"/>
      <c r="K39" s="64"/>
      <c r="L39" s="64"/>
      <c r="M39" s="64"/>
      <c r="O39" s="65"/>
      <c r="P39" s="65"/>
      <c r="Q39" s="65"/>
      <c r="R39" s="65"/>
      <c r="T39" s="66"/>
      <c r="U39" s="66"/>
      <c r="V39" s="66"/>
      <c r="X39" s="70"/>
      <c r="Y39" s="70"/>
      <c r="Z39" s="70"/>
      <c r="AA39" s="70"/>
      <c r="AC39" s="71"/>
      <c r="AD39" s="72"/>
      <c r="AE39" s="72"/>
      <c r="AF39" s="72"/>
      <c r="AG39" s="72"/>
      <c r="AI39" s="4"/>
      <c r="AJ39" s="4"/>
      <c r="AK39" s="4"/>
    </row>
    <row r="40" spans="1:37" x14ac:dyDescent="0.45">
      <c r="A40" s="12">
        <v>46631</v>
      </c>
      <c r="B40" s="1" t="s">
        <v>48</v>
      </c>
      <c r="C40" s="13"/>
      <c r="D40" s="13"/>
      <c r="E40" s="13"/>
      <c r="F40" s="13"/>
      <c r="H40" s="4"/>
      <c r="I40" s="4"/>
      <c r="J40" s="4"/>
      <c r="K40" s="4"/>
      <c r="L40" s="4"/>
      <c r="M40" s="4"/>
      <c r="O40" s="4"/>
      <c r="P40" s="4"/>
      <c r="Q40" s="4"/>
      <c r="R40" s="4"/>
      <c r="T40" s="4"/>
      <c r="U40" s="4"/>
      <c r="V40" s="4"/>
      <c r="X40" s="4"/>
      <c r="Y40" s="4"/>
      <c r="Z40" s="4"/>
      <c r="AA40" s="4"/>
      <c r="AC40" s="50"/>
      <c r="AD40" s="51"/>
      <c r="AE40" s="51"/>
      <c r="AF40" s="51"/>
      <c r="AG40" s="51"/>
      <c r="AI40" s="4"/>
      <c r="AJ40" s="4"/>
      <c r="AK40" s="4"/>
    </row>
    <row r="41" spans="1:37" x14ac:dyDescent="0.45">
      <c r="A41" s="12">
        <v>46661</v>
      </c>
      <c r="B41" s="1" t="s">
        <v>49</v>
      </c>
      <c r="C41" s="14"/>
      <c r="D41" s="14"/>
      <c r="E41" s="14"/>
      <c r="F41" s="14"/>
      <c r="H41" s="64"/>
      <c r="I41" s="64"/>
      <c r="J41" s="64"/>
      <c r="K41" s="64"/>
      <c r="L41" s="64"/>
      <c r="M41" s="64"/>
      <c r="O41" s="65"/>
      <c r="P41" s="65"/>
      <c r="Q41" s="65"/>
      <c r="R41" s="65"/>
      <c r="T41" s="66"/>
      <c r="U41" s="66"/>
      <c r="V41" s="66"/>
      <c r="X41" s="70"/>
      <c r="Y41" s="70"/>
      <c r="Z41" s="70"/>
      <c r="AA41" s="70"/>
      <c r="AC41" s="71"/>
      <c r="AD41" s="72"/>
      <c r="AE41" s="72"/>
      <c r="AF41" s="72"/>
      <c r="AG41" s="72"/>
      <c r="AI41" s="4"/>
      <c r="AJ41" s="4"/>
      <c r="AK41" s="4"/>
    </row>
    <row r="42" spans="1:37" x14ac:dyDescent="0.45">
      <c r="C42" s="87">
        <f>SUM(C6:C41)</f>
        <v>50</v>
      </c>
      <c r="D42" s="87"/>
      <c r="E42" s="87">
        <f>MAX(E6:E41)</f>
        <v>50</v>
      </c>
      <c r="F42" s="87"/>
      <c r="H42" s="87">
        <f>SUM(H6:H41)</f>
        <v>55</v>
      </c>
      <c r="I42" s="87">
        <f>SUM(I6:I41)</f>
        <v>128</v>
      </c>
      <c r="J42" s="87"/>
      <c r="K42" s="87"/>
      <c r="L42" s="87"/>
      <c r="M42" s="87">
        <f>AVERAGE(M6:M41)</f>
        <v>3414.8571428571427</v>
      </c>
      <c r="O42" s="87">
        <f>SUM(O6:O41)</f>
        <v>53</v>
      </c>
      <c r="P42" s="87">
        <f>MAX(P6:P41)</f>
        <v>91</v>
      </c>
      <c r="Q42" s="87"/>
      <c r="R42" s="87"/>
      <c r="T42" s="87">
        <f>SUM(T6:T41)</f>
        <v>35</v>
      </c>
      <c r="U42" s="87">
        <f>MAX(U6:U41)</f>
        <v>13</v>
      </c>
      <c r="V42" s="87"/>
      <c r="X42" s="88">
        <f>SUM(X6:X41)</f>
        <v>1093</v>
      </c>
      <c r="Y42" s="88"/>
      <c r="Z42" s="88"/>
      <c r="AA42" s="88"/>
      <c r="AC42" s="87">
        <f>SUM(AC12:AC41)</f>
        <v>5</v>
      </c>
      <c r="AD42" s="87"/>
      <c r="AE42" s="87"/>
      <c r="AF42" s="87"/>
      <c r="AG42" s="87"/>
      <c r="AI42" s="87">
        <f>SUM(AI6:AI41)</f>
        <v>1</v>
      </c>
      <c r="AJ42" s="87"/>
      <c r="AK42" s="87">
        <f>MAX(AK6:AK41)</f>
        <v>17</v>
      </c>
    </row>
    <row r="43" spans="1:37" ht="14.65" thickBot="1" x14ac:dyDescent="0.5">
      <c r="M43" s="87">
        <f>SUM(M6:M41)</f>
        <v>23904</v>
      </c>
    </row>
    <row r="44" spans="1:37" ht="14.65" thickBot="1" x14ac:dyDescent="0.5">
      <c r="A44" s="62" t="s">
        <v>186</v>
      </c>
      <c r="B44" s="63">
        <f>SUM(E42,I42,P42,U42,AK42)</f>
        <v>299</v>
      </c>
    </row>
    <row r="45" spans="1:37" ht="14.65" thickBot="1" x14ac:dyDescent="0.5">
      <c r="A45" s="62" t="s">
        <v>187</v>
      </c>
      <c r="B45" s="63">
        <f>SUM(C42,H42,O42,T42,AC42,AI42)</f>
        <v>199</v>
      </c>
    </row>
  </sheetData>
  <mergeCells count="8">
    <mergeCell ref="AC4:AG4"/>
    <mergeCell ref="AI4:AK4"/>
    <mergeCell ref="A4:B4"/>
    <mergeCell ref="C4:F4"/>
    <mergeCell ref="H4:M4"/>
    <mergeCell ref="O4:Q4"/>
    <mergeCell ref="X4:AA4"/>
    <mergeCell ref="T4:V4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0DF5-9046-4733-B985-D5E1E1F8D1AF}">
  <dimension ref="A1:N31"/>
  <sheetViews>
    <sheetView workbookViewId="0">
      <selection activeCell="L7" sqref="L7"/>
    </sheetView>
  </sheetViews>
  <sheetFormatPr defaultRowHeight="14.25" x14ac:dyDescent="0.45"/>
  <cols>
    <col min="1" max="1" width="24.73046875" customWidth="1"/>
    <col min="2" max="2" width="22.73046875" style="44" customWidth="1"/>
    <col min="3" max="3" width="21.46484375" customWidth="1"/>
    <col min="4" max="4" width="17.86328125" customWidth="1"/>
    <col min="5" max="5" width="33.59765625" style="43" customWidth="1"/>
    <col min="10" max="11" width="23.1328125" customWidth="1"/>
    <col min="12" max="12" width="16.6640625" customWidth="1"/>
    <col min="13" max="13" width="19.33203125" customWidth="1"/>
    <col min="14" max="14" width="22.19921875" customWidth="1"/>
  </cols>
  <sheetData>
    <row r="1" spans="1:14" x14ac:dyDescent="0.45">
      <c r="A1" s="86"/>
      <c r="B1" s="86"/>
      <c r="C1" s="86"/>
      <c r="D1" s="86"/>
      <c r="E1" s="36"/>
    </row>
    <row r="2" spans="1:14" x14ac:dyDescent="0.45">
      <c r="A2" s="28" t="s">
        <v>152</v>
      </c>
      <c r="B2" s="28" t="s">
        <v>153</v>
      </c>
      <c r="C2" s="28" t="s">
        <v>154</v>
      </c>
      <c r="D2" s="28" t="s">
        <v>155</v>
      </c>
      <c r="E2" s="37"/>
    </row>
    <row r="3" spans="1:14" x14ac:dyDescent="0.45">
      <c r="A3" s="29">
        <v>1</v>
      </c>
      <c r="B3" s="30">
        <v>45838</v>
      </c>
      <c r="C3" s="29" t="s">
        <v>166</v>
      </c>
      <c r="D3" s="30">
        <v>45825</v>
      </c>
      <c r="E3" s="38"/>
      <c r="J3" s="28" t="s">
        <v>194</v>
      </c>
      <c r="K3" s="28" t="s">
        <v>161</v>
      </c>
      <c r="L3" s="28" t="s">
        <v>153</v>
      </c>
      <c r="M3" s="28" t="s">
        <v>154</v>
      </c>
      <c r="N3" s="28" t="s">
        <v>155</v>
      </c>
    </row>
    <row r="4" spans="1:14" x14ac:dyDescent="0.45">
      <c r="A4" s="29">
        <v>2</v>
      </c>
      <c r="B4" s="30">
        <v>45961</v>
      </c>
      <c r="C4" s="29" t="s">
        <v>156</v>
      </c>
      <c r="D4" s="30"/>
      <c r="E4" s="38"/>
      <c r="J4" s="29">
        <v>1</v>
      </c>
      <c r="K4" s="29"/>
      <c r="L4" s="30"/>
      <c r="M4" s="29"/>
      <c r="N4" s="30"/>
    </row>
    <row r="5" spans="1:14" x14ac:dyDescent="0.45">
      <c r="A5" s="29">
        <v>3</v>
      </c>
      <c r="B5" s="30">
        <v>45777</v>
      </c>
      <c r="C5" s="29" t="s">
        <v>156</v>
      </c>
      <c r="D5" s="30"/>
      <c r="E5" s="38"/>
      <c r="J5" s="29">
        <v>2</v>
      </c>
      <c r="K5" s="29"/>
      <c r="L5" s="30"/>
      <c r="M5" s="29"/>
      <c r="N5" s="30"/>
    </row>
    <row r="6" spans="1:14" x14ac:dyDescent="0.45">
      <c r="A6" s="29">
        <v>4</v>
      </c>
      <c r="B6" s="30">
        <v>46326</v>
      </c>
      <c r="C6" s="29" t="s">
        <v>156</v>
      </c>
      <c r="D6" s="29"/>
      <c r="E6" s="36"/>
      <c r="J6" s="29">
        <v>3</v>
      </c>
      <c r="K6" s="29"/>
      <c r="L6" s="30">
        <v>46022</v>
      </c>
      <c r="M6" s="29"/>
      <c r="N6" s="30"/>
    </row>
    <row r="7" spans="1:14" x14ac:dyDescent="0.45">
      <c r="A7" s="29">
        <v>5</v>
      </c>
      <c r="B7" s="30">
        <v>46507</v>
      </c>
      <c r="C7" s="29" t="s">
        <v>156</v>
      </c>
      <c r="D7" s="29"/>
      <c r="E7" s="36"/>
      <c r="J7" s="29">
        <v>4</v>
      </c>
      <c r="K7" s="29"/>
      <c r="L7" s="30"/>
      <c r="M7" s="29"/>
      <c r="N7" s="29"/>
    </row>
    <row r="8" spans="1:14" x14ac:dyDescent="0.45">
      <c r="A8" s="29">
        <v>6</v>
      </c>
      <c r="B8" s="30">
        <v>46691</v>
      </c>
      <c r="C8" s="29" t="s">
        <v>156</v>
      </c>
      <c r="D8" s="29"/>
      <c r="E8" s="36"/>
      <c r="J8" s="29">
        <v>5</v>
      </c>
      <c r="K8" s="29"/>
      <c r="L8" s="30"/>
      <c r="M8" s="29"/>
      <c r="N8" s="29"/>
    </row>
    <row r="9" spans="1:14" x14ac:dyDescent="0.45">
      <c r="J9" s="29">
        <v>6</v>
      </c>
      <c r="K9" s="29"/>
      <c r="L9" s="30"/>
      <c r="M9" s="29"/>
      <c r="N9" s="29"/>
    </row>
    <row r="10" spans="1:14" x14ac:dyDescent="0.45">
      <c r="J10" s="29">
        <v>7</v>
      </c>
      <c r="K10" s="29"/>
      <c r="L10" s="30"/>
      <c r="M10" s="29"/>
      <c r="N10" s="29"/>
    </row>
    <row r="11" spans="1:14" x14ac:dyDescent="0.45">
      <c r="J11" s="29">
        <v>8</v>
      </c>
      <c r="K11" s="29"/>
      <c r="L11" s="30"/>
      <c r="M11" s="29"/>
      <c r="N11" s="29"/>
    </row>
    <row r="12" spans="1:14" x14ac:dyDescent="0.45">
      <c r="A12" s="28" t="s">
        <v>157</v>
      </c>
      <c r="B12" s="28" t="s">
        <v>153</v>
      </c>
      <c r="C12" s="28" t="s">
        <v>154</v>
      </c>
      <c r="D12" s="28" t="s">
        <v>155</v>
      </c>
      <c r="E12" s="39" t="s">
        <v>161</v>
      </c>
      <c r="J12" s="29">
        <v>9</v>
      </c>
      <c r="K12" s="29"/>
      <c r="L12" s="30"/>
      <c r="M12" s="29"/>
      <c r="N12" s="29"/>
    </row>
    <row r="13" spans="1:14" x14ac:dyDescent="0.45">
      <c r="A13" s="29">
        <v>1</v>
      </c>
      <c r="B13" s="30">
        <v>45777</v>
      </c>
      <c r="C13" s="29" t="s">
        <v>166</v>
      </c>
      <c r="D13" s="30">
        <v>45777</v>
      </c>
      <c r="E13" s="40" t="s">
        <v>163</v>
      </c>
      <c r="J13" s="29">
        <v>10</v>
      </c>
      <c r="K13" s="29"/>
      <c r="L13" s="30"/>
      <c r="M13" s="29"/>
      <c r="N13" s="29"/>
    </row>
    <row r="14" spans="1:14" x14ac:dyDescent="0.45">
      <c r="A14" s="29">
        <v>2</v>
      </c>
      <c r="C14" s="29" t="s">
        <v>156</v>
      </c>
      <c r="D14" s="30"/>
      <c r="E14" s="40"/>
    </row>
    <row r="15" spans="1:14" x14ac:dyDescent="0.45">
      <c r="A15" s="29">
        <v>3</v>
      </c>
      <c r="B15" s="30" t="s">
        <v>168</v>
      </c>
      <c r="C15" s="29" t="s">
        <v>156</v>
      </c>
      <c r="D15" s="30"/>
      <c r="E15" s="40" t="s">
        <v>167</v>
      </c>
    </row>
    <row r="16" spans="1:14" ht="42.75" x14ac:dyDescent="0.45">
      <c r="A16" s="29">
        <v>4</v>
      </c>
      <c r="B16" s="30">
        <v>45961</v>
      </c>
      <c r="C16" s="29" t="s">
        <v>156</v>
      </c>
      <c r="D16" s="29"/>
      <c r="E16" s="41" t="s">
        <v>162</v>
      </c>
    </row>
    <row r="17" spans="1:5" x14ac:dyDescent="0.45">
      <c r="A17" s="29">
        <v>5</v>
      </c>
      <c r="B17" s="30" t="s">
        <v>170</v>
      </c>
      <c r="C17" s="29" t="s">
        <v>156</v>
      </c>
      <c r="D17" s="29"/>
      <c r="E17" s="40" t="s">
        <v>169</v>
      </c>
    </row>
    <row r="18" spans="1:5" x14ac:dyDescent="0.45">
      <c r="A18" s="29">
        <v>6</v>
      </c>
      <c r="B18" s="30"/>
      <c r="C18" s="29" t="s">
        <v>156</v>
      </c>
      <c r="D18" s="29"/>
      <c r="E18" s="41"/>
    </row>
    <row r="19" spans="1:5" ht="42.75" x14ac:dyDescent="0.45">
      <c r="A19" s="29">
        <v>7</v>
      </c>
      <c r="B19" s="30">
        <v>46326</v>
      </c>
      <c r="C19" s="29" t="s">
        <v>156</v>
      </c>
      <c r="D19" s="29"/>
      <c r="E19" s="41" t="s">
        <v>164</v>
      </c>
    </row>
    <row r="20" spans="1:5" x14ac:dyDescent="0.45">
      <c r="A20" s="29">
        <v>8</v>
      </c>
      <c r="B20" s="30"/>
      <c r="C20" s="29" t="s">
        <v>156</v>
      </c>
      <c r="D20" s="29"/>
      <c r="E20" s="41"/>
    </row>
    <row r="21" spans="1:5" x14ac:dyDescent="0.45">
      <c r="A21" s="29">
        <v>9</v>
      </c>
      <c r="B21" s="29"/>
      <c r="C21" s="29" t="s">
        <v>156</v>
      </c>
      <c r="D21" s="4"/>
      <c r="E21" s="42"/>
    </row>
    <row r="22" spans="1:5" x14ac:dyDescent="0.45">
      <c r="A22" s="29">
        <v>10</v>
      </c>
      <c r="B22" s="30">
        <v>46691</v>
      </c>
      <c r="C22" s="29" t="s">
        <v>156</v>
      </c>
      <c r="D22" s="4"/>
      <c r="E22" s="41" t="s">
        <v>165</v>
      </c>
    </row>
    <row r="27" spans="1:5" x14ac:dyDescent="0.45">
      <c r="A27" s="28" t="s">
        <v>192</v>
      </c>
      <c r="B27" s="28" t="s">
        <v>153</v>
      </c>
      <c r="C27" s="28" t="s">
        <v>154</v>
      </c>
      <c r="D27" s="28" t="s">
        <v>155</v>
      </c>
    </row>
    <row r="28" spans="1:5" x14ac:dyDescent="0.45">
      <c r="A28" s="29">
        <v>1</v>
      </c>
      <c r="B28" s="30">
        <v>45838</v>
      </c>
      <c r="C28" s="29" t="s">
        <v>193</v>
      </c>
      <c r="D28" s="30">
        <v>45792</v>
      </c>
    </row>
    <row r="29" spans="1:5" x14ac:dyDescent="0.45">
      <c r="A29" s="29">
        <v>2</v>
      </c>
      <c r="B29" s="30">
        <v>45961</v>
      </c>
      <c r="C29" s="29" t="s">
        <v>156</v>
      </c>
      <c r="D29" s="30"/>
    </row>
    <row r="30" spans="1:5" x14ac:dyDescent="0.45">
      <c r="A30" s="29">
        <v>3</v>
      </c>
      <c r="B30" s="30">
        <v>45777</v>
      </c>
      <c r="C30" s="29" t="s">
        <v>156</v>
      </c>
      <c r="D30" s="30"/>
    </row>
    <row r="31" spans="1:5" x14ac:dyDescent="0.45">
      <c r="A31" s="29">
        <v>4</v>
      </c>
      <c r="B31" s="30">
        <v>46326</v>
      </c>
      <c r="C31" s="29" t="s">
        <v>156</v>
      </c>
      <c r="D31" s="29"/>
    </row>
  </sheetData>
  <mergeCells count="1">
    <mergeCell ref="A1:D1"/>
  </mergeCells>
  <dataValidations count="2">
    <dataValidation type="list" allowBlank="1" showInputMessage="1" showErrorMessage="1" sqref="C3:C8 C13:C22" xr:uid="{D64C7683-65AB-41C6-AD98-78D1D8D57A92}">
      <formula1>"Not Started, In Progress, Released"</formula1>
    </dataValidation>
    <dataValidation type="list" allowBlank="1" showInputMessage="1" showErrorMessage="1" sqref="C28:C31 M4:M13" xr:uid="{7B6EE4B6-5963-41F1-8AD6-AC09ECF1BCDF}">
      <formula1>"Not Started, In Progress, Ready"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B59E-BB2C-4D19-AB5A-2A3BD37F8747}">
  <dimension ref="D8:X33"/>
  <sheetViews>
    <sheetView workbookViewId="0">
      <selection activeCell="E40" sqref="E40"/>
    </sheetView>
  </sheetViews>
  <sheetFormatPr defaultRowHeight="14.25" x14ac:dyDescent="0.45"/>
  <sheetData>
    <row r="8" spans="10:24" ht="17.649999999999999" x14ac:dyDescent="0.5">
      <c r="X8" s="73"/>
    </row>
    <row r="11" spans="10:24" x14ac:dyDescent="0.45">
      <c r="W11" t="s">
        <v>190</v>
      </c>
      <c r="X11" t="s">
        <v>191</v>
      </c>
    </row>
    <row r="12" spans="10:24" x14ac:dyDescent="0.45">
      <c r="W12">
        <v>2000</v>
      </c>
      <c r="X12">
        <v>275</v>
      </c>
    </row>
    <row r="15" spans="10:24" x14ac:dyDescent="0.45">
      <c r="J15" t="s">
        <v>188</v>
      </c>
      <c r="K15" s="10" t="s">
        <v>189</v>
      </c>
    </row>
    <row r="16" spans="10:24" x14ac:dyDescent="0.45">
      <c r="J16" s="12">
        <v>45597</v>
      </c>
      <c r="K16" s="4">
        <v>78</v>
      </c>
    </row>
    <row r="17" spans="4:11" x14ac:dyDescent="0.45">
      <c r="J17" s="12">
        <v>45627</v>
      </c>
      <c r="K17" s="67">
        <v>68</v>
      </c>
    </row>
    <row r="18" spans="4:11" x14ac:dyDescent="0.45">
      <c r="J18" s="12">
        <v>45658</v>
      </c>
      <c r="K18" s="15">
        <v>91</v>
      </c>
    </row>
    <row r="19" spans="4:11" x14ac:dyDescent="0.45">
      <c r="J19" s="12">
        <v>45689</v>
      </c>
      <c r="K19" s="68">
        <v>140</v>
      </c>
    </row>
    <row r="20" spans="4:11" x14ac:dyDescent="0.45">
      <c r="J20" s="12">
        <v>45717</v>
      </c>
      <c r="K20" s="15">
        <v>122</v>
      </c>
    </row>
    <row r="21" spans="4:11" x14ac:dyDescent="0.45">
      <c r="J21" s="12">
        <v>45748</v>
      </c>
      <c r="K21" s="68">
        <v>184</v>
      </c>
    </row>
    <row r="22" spans="4:11" x14ac:dyDescent="0.45">
      <c r="J22" s="12">
        <v>45778</v>
      </c>
      <c r="K22" s="15">
        <v>243</v>
      </c>
    </row>
    <row r="27" spans="4:11" x14ac:dyDescent="0.45">
      <c r="D27" t="s">
        <v>188</v>
      </c>
      <c r="E27" s="4" t="s">
        <v>8</v>
      </c>
    </row>
    <row r="28" spans="4:11" x14ac:dyDescent="0.45">
      <c r="D28" s="12">
        <v>45627</v>
      </c>
      <c r="E28" s="64">
        <v>5506</v>
      </c>
    </row>
    <row r="29" spans="4:11" x14ac:dyDescent="0.45">
      <c r="D29" s="12">
        <v>45658</v>
      </c>
      <c r="E29" s="4">
        <v>998</v>
      </c>
    </row>
    <row r="30" spans="4:11" x14ac:dyDescent="0.45">
      <c r="D30" s="12">
        <v>45689</v>
      </c>
      <c r="E30" s="64">
        <v>3962</v>
      </c>
    </row>
    <row r="31" spans="4:11" x14ac:dyDescent="0.45">
      <c r="D31" s="12">
        <v>45717</v>
      </c>
      <c r="E31" s="4">
        <v>1810</v>
      </c>
    </row>
    <row r="32" spans="4:11" x14ac:dyDescent="0.45">
      <c r="D32" s="12">
        <v>45748</v>
      </c>
      <c r="E32" s="64">
        <v>3052</v>
      </c>
    </row>
    <row r="33" spans="4:5" x14ac:dyDescent="0.45">
      <c r="D33" s="12">
        <v>45778</v>
      </c>
      <c r="E33" s="4">
        <v>4080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SM &amp; Website</vt:lpstr>
      <vt:lpstr>Materials 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Jihane Najar</dc:creator>
  <cp:lastModifiedBy>Jihane Najar</cp:lastModifiedBy>
  <dcterms:created xsi:type="dcterms:W3CDTF">2025-03-24T10:56:52Z</dcterms:created>
  <dcterms:modified xsi:type="dcterms:W3CDTF">2025-07-03T14:03:41Z</dcterms:modified>
</cp:coreProperties>
</file>