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19"/>
  <workbookPr/>
  <xr:revisionPtr revIDLastSave="586" documentId="11_9B975224CCB7FE5AFC9D8DC38572A12636ED40E6" xr6:coauthVersionLast="47" xr6:coauthVersionMax="47" xr10:uidLastSave="{E52CE53B-2A4F-42AF-B398-C1E4C26D9A17}"/>
  <bookViews>
    <workbookView xWindow="240" yWindow="105" windowWidth="14805" windowHeight="8010" xr2:uid="{00000000-000D-0000-FFFF-FFFF00000000}"/>
  </bookViews>
  <sheets>
    <sheet name="Φύλλο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" i="1" l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3" i="1"/>
</calcChain>
</file>

<file path=xl/sharedStrings.xml><?xml version="1.0" encoding="utf-8"?>
<sst xmlns="http://schemas.openxmlformats.org/spreadsheetml/2006/main" count="203" uniqueCount="101">
  <si>
    <t>Due Date</t>
  </si>
  <si>
    <t>Reviewers</t>
  </si>
  <si>
    <t>No</t>
  </si>
  <si>
    <t>Deliverable</t>
  </si>
  <si>
    <t>Name</t>
  </si>
  <si>
    <t>WP#</t>
  </si>
  <si>
    <t>Lead Beneficiary</t>
  </si>
  <si>
    <t>Type</t>
  </si>
  <si>
    <t>Month</t>
  </si>
  <si>
    <t>Date</t>
  </si>
  <si>
    <t>Draft</t>
  </si>
  <si>
    <t>Reviewer #1 partner name</t>
  </si>
  <si>
    <t>Reviewer #1 person name</t>
  </si>
  <si>
    <t>Reviewer #2 partner name</t>
  </si>
  <si>
    <t>Reviewer #2 person name</t>
  </si>
  <si>
    <t>Submitted Status</t>
  </si>
  <si>
    <t>D1.1</t>
  </si>
  <si>
    <t>Project Manual</t>
  </si>
  <si>
    <t>WP1</t>
  </si>
  <si>
    <t>ICCS</t>
  </si>
  <si>
    <t xml:space="preserve">R </t>
  </si>
  <si>
    <t>M03</t>
  </si>
  <si>
    <t>Completed</t>
  </si>
  <si>
    <t>ISI</t>
  </si>
  <si>
    <t>Apostolos Fournaris</t>
  </si>
  <si>
    <t>AEGIS</t>
  </si>
  <si>
    <t>Nikolaos Gkatzios</t>
  </si>
  <si>
    <t>Submitted</t>
  </si>
  <si>
    <t>D1.2</t>
  </si>
  <si>
    <t>Data Management Plan</t>
  </si>
  <si>
    <t>DMP</t>
  </si>
  <si>
    <t>M06</t>
  </si>
  <si>
    <t>CBRL</t>
  </si>
  <si>
    <t>Andreas Miaoudakis</t>
  </si>
  <si>
    <t>BEVD</t>
  </si>
  <si>
    <t>Omar Veledar</t>
  </si>
  <si>
    <t>D1.3</t>
  </si>
  <si>
    <t>Innovation management and ethics oversight report</t>
  </si>
  <si>
    <t>M36</t>
  </si>
  <si>
    <t>UNIPI</t>
  </si>
  <si>
    <t>Antonio Carta</t>
  </si>
  <si>
    <t>AVI</t>
  </si>
  <si>
    <t>Aris Lalos</t>
  </si>
  <si>
    <t>UNICA</t>
  </si>
  <si>
    <t>D1.4</t>
  </si>
  <si>
    <t>Analysis of the legal and ethical issues</t>
  </si>
  <si>
    <t>M12</t>
  </si>
  <si>
    <t>DIE</t>
  </si>
  <si>
    <t>Entrit Metai</t>
  </si>
  <si>
    <t>SLC</t>
  </si>
  <si>
    <t>Christos Papadopoulos</t>
  </si>
  <si>
    <t>UPatras</t>
  </si>
  <si>
    <t>D2.1</t>
  </si>
  <si>
    <t>Plan for impact delivery</t>
  </si>
  <si>
    <t>WP2</t>
  </si>
  <si>
    <t>Antonis Makris</t>
  </si>
  <si>
    <t>TID</t>
  </si>
  <si>
    <t>Carlos Segura</t>
  </si>
  <si>
    <t>SIE</t>
  </si>
  <si>
    <t>D2.2</t>
  </si>
  <si>
    <t>First Impact Analysis</t>
  </si>
  <si>
    <t>M18</t>
  </si>
  <si>
    <t>D2.3</t>
  </si>
  <si>
    <t>Final Impact report</t>
  </si>
  <si>
    <t>D3.1</t>
  </si>
  <si>
    <t>Project scope definition</t>
  </si>
  <si>
    <t>WP3</t>
  </si>
  <si>
    <t>AVL</t>
  </si>
  <si>
    <t>David Lenk</t>
  </si>
  <si>
    <t>STS</t>
  </si>
  <si>
    <t xml:space="preserve">Ioannis Arakas </t>
  </si>
  <si>
    <t>D3.2</t>
  </si>
  <si>
    <t>Technical specifications</t>
  </si>
  <si>
    <t>OTHER</t>
  </si>
  <si>
    <t>Battista Biggio</t>
  </si>
  <si>
    <t>Georgios Bouloukakis</t>
  </si>
  <si>
    <t>D4.1</t>
  </si>
  <si>
    <t>Enablers development S&amp;T report</t>
  </si>
  <si>
    <t>WP4</t>
  </si>
  <si>
    <t>D4.2</t>
  </si>
  <si>
    <t>Enablers repository</t>
  </si>
  <si>
    <t>M33</t>
  </si>
  <si>
    <t>Ioannis Arakas</t>
  </si>
  <si>
    <t>D5.1</t>
  </si>
  <si>
    <t>Security assurance and monitoring S&amp;T report</t>
  </si>
  <si>
    <t>WP5</t>
  </si>
  <si>
    <t xml:space="preserve">Arne Broering </t>
  </si>
  <si>
    <t>D5.2</t>
  </si>
  <si>
    <t>Security assurance and monitoring repository</t>
  </si>
  <si>
    <t>D6.1</t>
  </si>
  <si>
    <t>Simulator &amp; datasets</t>
  </si>
  <si>
    <t>WP6</t>
  </si>
  <si>
    <t>M24</t>
  </si>
  <si>
    <t>D6.2</t>
  </si>
  <si>
    <t>MVP</t>
  </si>
  <si>
    <t>D6.3</t>
  </si>
  <si>
    <t>Integrated framework</t>
  </si>
  <si>
    <t>DEM</t>
  </si>
  <si>
    <t>M34</t>
  </si>
  <si>
    <t>D6.4</t>
  </si>
  <si>
    <t>Evaluation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</si>
</sst>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11">
    <font>
      <sz val="11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C00000"/>
      <name val="Aptos Narrow"/>
      <family val="2"/>
      <scheme val="minor"/>
    </font>
    <font>
      <b/>
      <sz val="14"/>
      <color theme="9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4"/>
      <name val="Aptos Narrow"/>
      <family val="2"/>
      <scheme val="minor"/>
    </font>
    <font>
      <b/>
      <i/>
      <sz val="12"/>
      <color theme="1"/>
      <name val="Aptos Narrow"/>
      <family val="2"/>
      <scheme val="minor"/>
    </font>
    <font>
      <i/>
      <sz val="12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6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164" fontId="5" fillId="0" borderId="5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164" fontId="5" fillId="0" borderId="7" xfId="0" applyNumberFormat="1" applyFont="1" applyBorder="1" applyAlignment="1">
      <alignment horizontal="center" vertical="center"/>
    </xf>
    <xf numFmtId="164" fontId="5" fillId="0" borderId="3" xfId="0" applyNumberFormat="1" applyFont="1" applyBorder="1" applyAlignment="1">
      <alignment horizontal="center" vertical="center"/>
    </xf>
    <xf numFmtId="164" fontId="5" fillId="4" borderId="7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8" fillId="5" borderId="4" xfId="0" applyFont="1" applyFill="1" applyBorder="1"/>
    <xf numFmtId="0" fontId="8" fillId="5" borderId="6" xfId="0" applyFont="1" applyFill="1" applyBorder="1"/>
    <xf numFmtId="0" fontId="8" fillId="5" borderId="8" xfId="0" applyFont="1" applyFill="1" applyBorder="1"/>
    <xf numFmtId="0" fontId="9" fillId="5" borderId="4" xfId="0" applyFont="1" applyFill="1" applyBorder="1" applyAlignment="1">
      <alignment horizontal="left" vertical="center"/>
    </xf>
    <xf numFmtId="0" fontId="9" fillId="5" borderId="6" xfId="0" applyFont="1" applyFill="1" applyBorder="1" applyAlignment="1">
      <alignment horizontal="left" vertical="center"/>
    </xf>
    <xf numFmtId="0" fontId="9" fillId="5" borderId="8" xfId="0" applyFont="1" applyFill="1" applyBorder="1" applyAlignment="1">
      <alignment horizontal="left" vertical="center"/>
    </xf>
    <xf numFmtId="0" fontId="7" fillId="4" borderId="6" xfId="0" applyFont="1" applyFill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7" fillId="6" borderId="6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2"/>
  <sheetViews>
    <sheetView tabSelected="1" workbookViewId="0">
      <pane ySplit="2" topLeftCell="A3" activePane="bottomLeft" state="frozen"/>
      <selection pane="bottomLeft" activeCell="C7" sqref="C7"/>
    </sheetView>
  </sheetViews>
  <sheetFormatPr defaultRowHeight="15"/>
  <cols>
    <col min="1" max="1" width="7.5703125" customWidth="1"/>
    <col min="2" max="2" width="14.28515625" customWidth="1"/>
    <col min="3" max="3" width="49.28515625" customWidth="1"/>
    <col min="5" max="5" width="17" customWidth="1"/>
    <col min="6" max="6" width="12" customWidth="1"/>
    <col min="7" max="7" width="13.7109375" customWidth="1"/>
    <col min="8" max="8" width="14.28515625" customWidth="1"/>
    <col min="9" max="9" width="15.140625" customWidth="1"/>
    <col min="10" max="10" width="21" customWidth="1"/>
    <col min="11" max="11" width="27.28515625" customWidth="1"/>
    <col min="12" max="12" width="17" customWidth="1"/>
    <col min="13" max="13" width="23.7109375" customWidth="1"/>
    <col min="14" max="14" width="15.28515625" customWidth="1"/>
  </cols>
  <sheetData>
    <row r="1" spans="1:17" ht="18.75">
      <c r="A1" s="42"/>
      <c r="B1" s="42"/>
      <c r="C1" s="42"/>
      <c r="D1" s="42"/>
      <c r="E1" s="42"/>
      <c r="F1" s="42"/>
      <c r="G1" s="41" t="s">
        <v>0</v>
      </c>
      <c r="H1" s="41"/>
      <c r="I1" s="5"/>
      <c r="J1" s="41" t="s">
        <v>1</v>
      </c>
      <c r="K1" s="41"/>
      <c r="L1" s="41"/>
      <c r="M1" s="41"/>
      <c r="N1" s="5"/>
    </row>
    <row r="2" spans="1:17" ht="67.5" customHeight="1">
      <c r="A2" s="2" t="s">
        <v>2</v>
      </c>
      <c r="B2" s="2" t="s">
        <v>3</v>
      </c>
      <c r="C2" s="2" t="s">
        <v>4</v>
      </c>
      <c r="D2" s="2" t="s">
        <v>5</v>
      </c>
      <c r="E2" s="2" t="s">
        <v>6</v>
      </c>
      <c r="F2" s="3" t="s">
        <v>7</v>
      </c>
      <c r="G2" s="3" t="s">
        <v>8</v>
      </c>
      <c r="H2" s="16" t="s">
        <v>9</v>
      </c>
      <c r="I2" s="4" t="s">
        <v>10</v>
      </c>
      <c r="J2" s="4" t="s">
        <v>11</v>
      </c>
      <c r="K2" s="4" t="s">
        <v>12</v>
      </c>
      <c r="L2" s="4" t="s">
        <v>13</v>
      </c>
      <c r="M2" s="4" t="s">
        <v>14</v>
      </c>
      <c r="N2" s="14" t="s">
        <v>15</v>
      </c>
      <c r="O2" s="1"/>
    </row>
    <row r="3" spans="1:17" ht="15.75">
      <c r="A3" s="17">
        <v>1</v>
      </c>
      <c r="B3" s="22" t="s">
        <v>16</v>
      </c>
      <c r="C3" s="17" t="s">
        <v>17</v>
      </c>
      <c r="D3" s="17" t="s">
        <v>18</v>
      </c>
      <c r="E3" s="17" t="s">
        <v>19</v>
      </c>
      <c r="F3" s="17" t="s">
        <v>20</v>
      </c>
      <c r="G3" s="22" t="s">
        <v>21</v>
      </c>
      <c r="H3" s="23">
        <v>45688</v>
      </c>
      <c r="I3" s="36" t="s">
        <v>22</v>
      </c>
      <c r="J3" s="10" t="s">
        <v>23</v>
      </c>
      <c r="K3" s="18" t="s">
        <v>24</v>
      </c>
      <c r="L3" s="17" t="s">
        <v>25</v>
      </c>
      <c r="M3" s="18" t="s">
        <v>26</v>
      </c>
      <c r="N3" s="39" t="s">
        <v>27</v>
      </c>
      <c r="P3" s="32" t="s">
        <v>19</v>
      </c>
      <c r="Q3" s="29">
        <f>COUNTIF($J$3:$L$19,P3)</f>
        <v>3</v>
      </c>
    </row>
    <row r="4" spans="1:17" ht="15.75">
      <c r="A4" s="19">
        <v>2</v>
      </c>
      <c r="B4" s="24" t="s">
        <v>28</v>
      </c>
      <c r="C4" s="19" t="s">
        <v>29</v>
      </c>
      <c r="D4" s="19" t="s">
        <v>18</v>
      </c>
      <c r="E4" s="19" t="s">
        <v>25</v>
      </c>
      <c r="F4" s="19" t="s">
        <v>30</v>
      </c>
      <c r="G4" s="35" t="s">
        <v>31</v>
      </c>
      <c r="H4" s="25">
        <v>45777</v>
      </c>
      <c r="I4" s="37"/>
      <c r="J4" s="20" t="s">
        <v>32</v>
      </c>
      <c r="K4" s="19" t="s">
        <v>33</v>
      </c>
      <c r="L4" s="19" t="s">
        <v>34</v>
      </c>
      <c r="M4" s="20" t="s">
        <v>35</v>
      </c>
      <c r="N4" s="21"/>
      <c r="P4" s="33" t="s">
        <v>23</v>
      </c>
      <c r="Q4" s="30">
        <f t="shared" ref="Q4:Q17" si="0">COUNTIF($J$3:$L$19,P4)</f>
        <v>3</v>
      </c>
    </row>
    <row r="5" spans="1:17" ht="15.75">
      <c r="A5" s="19">
        <v>3</v>
      </c>
      <c r="B5" s="24" t="s">
        <v>36</v>
      </c>
      <c r="C5" s="19" t="s">
        <v>37</v>
      </c>
      <c r="D5" s="19" t="s">
        <v>18</v>
      </c>
      <c r="E5" s="19" t="s">
        <v>25</v>
      </c>
      <c r="F5" s="19" t="s">
        <v>20</v>
      </c>
      <c r="G5" s="24" t="s">
        <v>38</v>
      </c>
      <c r="H5" s="25">
        <v>46691</v>
      </c>
      <c r="I5" s="37"/>
      <c r="J5" s="20" t="s">
        <v>39</v>
      </c>
      <c r="K5" s="19" t="s">
        <v>40</v>
      </c>
      <c r="L5" s="19" t="s">
        <v>41</v>
      </c>
      <c r="M5" s="20" t="s">
        <v>42</v>
      </c>
      <c r="N5" s="21"/>
      <c r="P5" s="33" t="s">
        <v>43</v>
      </c>
      <c r="Q5" s="30">
        <f t="shared" si="0"/>
        <v>2</v>
      </c>
    </row>
    <row r="6" spans="1:17" ht="15.75">
      <c r="A6" s="19">
        <v>4</v>
      </c>
      <c r="B6" s="24" t="s">
        <v>44</v>
      </c>
      <c r="C6" s="19" t="s">
        <v>45</v>
      </c>
      <c r="D6" s="19" t="s">
        <v>18</v>
      </c>
      <c r="E6" s="19" t="s">
        <v>25</v>
      </c>
      <c r="F6" s="19" t="s">
        <v>20</v>
      </c>
      <c r="G6" s="40" t="s">
        <v>46</v>
      </c>
      <c r="H6" s="25">
        <v>45961</v>
      </c>
      <c r="I6" s="37"/>
      <c r="J6" s="28" t="s">
        <v>47</v>
      </c>
      <c r="K6" s="28" t="s">
        <v>48</v>
      </c>
      <c r="L6" s="20" t="s">
        <v>49</v>
      </c>
      <c r="M6" s="19" t="s">
        <v>50</v>
      </c>
      <c r="N6" s="21"/>
      <c r="P6" s="33" t="s">
        <v>51</v>
      </c>
      <c r="Q6" s="30">
        <f t="shared" si="0"/>
        <v>2</v>
      </c>
    </row>
    <row r="7" spans="1:17" ht="15.75">
      <c r="A7" s="19">
        <v>5</v>
      </c>
      <c r="B7" s="24" t="s">
        <v>52</v>
      </c>
      <c r="C7" s="19" t="s">
        <v>53</v>
      </c>
      <c r="D7" s="19" t="s">
        <v>54</v>
      </c>
      <c r="E7" s="19" t="s">
        <v>25</v>
      </c>
      <c r="F7" s="19" t="s">
        <v>20</v>
      </c>
      <c r="G7" s="35" t="s">
        <v>31</v>
      </c>
      <c r="H7" s="25">
        <v>45777</v>
      </c>
      <c r="I7" s="37"/>
      <c r="J7" s="20" t="s">
        <v>19</v>
      </c>
      <c r="K7" s="19" t="s">
        <v>55</v>
      </c>
      <c r="L7" s="19" t="s">
        <v>56</v>
      </c>
      <c r="M7" s="19" t="s">
        <v>57</v>
      </c>
      <c r="N7" s="21"/>
      <c r="P7" s="33" t="s">
        <v>58</v>
      </c>
      <c r="Q7" s="30">
        <f t="shared" si="0"/>
        <v>2</v>
      </c>
    </row>
    <row r="8" spans="1:17" ht="15.75">
      <c r="A8" s="19">
        <v>6</v>
      </c>
      <c r="B8" s="24" t="s">
        <v>59</v>
      </c>
      <c r="C8" s="19" t="s">
        <v>60</v>
      </c>
      <c r="D8" s="19" t="s">
        <v>54</v>
      </c>
      <c r="E8" s="19" t="s">
        <v>32</v>
      </c>
      <c r="F8" s="19" t="s">
        <v>20</v>
      </c>
      <c r="G8" s="24" t="s">
        <v>61</v>
      </c>
      <c r="H8" s="27">
        <v>46142</v>
      </c>
      <c r="I8" s="37"/>
      <c r="J8" s="20" t="s">
        <v>49</v>
      </c>
      <c r="K8" s="19" t="s">
        <v>50</v>
      </c>
      <c r="L8" s="19" t="s">
        <v>41</v>
      </c>
      <c r="M8" s="20" t="s">
        <v>42</v>
      </c>
      <c r="N8" s="21"/>
      <c r="P8" s="33" t="s">
        <v>25</v>
      </c>
      <c r="Q8" s="30">
        <f t="shared" si="0"/>
        <v>3</v>
      </c>
    </row>
    <row r="9" spans="1:17" ht="15.75">
      <c r="A9" s="19">
        <v>7</v>
      </c>
      <c r="B9" s="24" t="s">
        <v>62</v>
      </c>
      <c r="C9" s="19" t="s">
        <v>63</v>
      </c>
      <c r="D9" s="19" t="s">
        <v>54</v>
      </c>
      <c r="E9" s="19" t="s">
        <v>32</v>
      </c>
      <c r="F9" s="19" t="s">
        <v>20</v>
      </c>
      <c r="G9" s="24" t="s">
        <v>38</v>
      </c>
      <c r="H9" s="25">
        <v>46691</v>
      </c>
      <c r="I9" s="37"/>
      <c r="J9" s="20" t="s">
        <v>23</v>
      </c>
      <c r="K9" s="19" t="s">
        <v>24</v>
      </c>
      <c r="L9" s="19" t="s">
        <v>47</v>
      </c>
      <c r="M9" s="20" t="s">
        <v>48</v>
      </c>
      <c r="N9" s="21"/>
      <c r="P9" s="33" t="s">
        <v>56</v>
      </c>
      <c r="Q9" s="30">
        <f t="shared" si="0"/>
        <v>2</v>
      </c>
    </row>
    <row r="10" spans="1:17" ht="15.75">
      <c r="A10" s="19">
        <v>8</v>
      </c>
      <c r="B10" s="24" t="s">
        <v>64</v>
      </c>
      <c r="C10" s="19" t="s">
        <v>65</v>
      </c>
      <c r="D10" s="19" t="s">
        <v>66</v>
      </c>
      <c r="E10" s="19" t="s">
        <v>19</v>
      </c>
      <c r="F10" s="19" t="s">
        <v>20</v>
      </c>
      <c r="G10" s="40" t="s">
        <v>46</v>
      </c>
      <c r="H10" s="25">
        <v>45961</v>
      </c>
      <c r="I10" s="37"/>
      <c r="J10" s="20" t="s">
        <v>67</v>
      </c>
      <c r="K10" s="19" t="s">
        <v>68</v>
      </c>
      <c r="L10" s="19" t="s">
        <v>69</v>
      </c>
      <c r="M10" s="20" t="s">
        <v>70</v>
      </c>
      <c r="N10" s="21"/>
      <c r="P10" s="33" t="s">
        <v>39</v>
      </c>
      <c r="Q10" s="30">
        <f t="shared" si="0"/>
        <v>2</v>
      </c>
    </row>
    <row r="11" spans="1:17" ht="15.75">
      <c r="A11" s="19">
        <v>9</v>
      </c>
      <c r="B11" s="24" t="s">
        <v>71</v>
      </c>
      <c r="C11" s="19" t="s">
        <v>72</v>
      </c>
      <c r="D11" s="19" t="s">
        <v>66</v>
      </c>
      <c r="E11" s="19" t="s">
        <v>23</v>
      </c>
      <c r="F11" s="19" t="s">
        <v>73</v>
      </c>
      <c r="G11" s="40" t="s">
        <v>46</v>
      </c>
      <c r="H11" s="25">
        <v>45961</v>
      </c>
      <c r="I11" s="37"/>
      <c r="J11" s="20" t="s">
        <v>43</v>
      </c>
      <c r="K11" s="19" t="s">
        <v>74</v>
      </c>
      <c r="L11" s="19" t="s">
        <v>51</v>
      </c>
      <c r="M11" s="20" t="s">
        <v>75</v>
      </c>
      <c r="N11" s="21"/>
      <c r="P11" s="33" t="s">
        <v>49</v>
      </c>
      <c r="Q11" s="30">
        <f t="shared" si="0"/>
        <v>2</v>
      </c>
    </row>
    <row r="12" spans="1:17" ht="15.75">
      <c r="A12" s="19">
        <v>10</v>
      </c>
      <c r="B12" s="24" t="s">
        <v>76</v>
      </c>
      <c r="C12" s="19" t="s">
        <v>77</v>
      </c>
      <c r="D12" s="19" t="s">
        <v>78</v>
      </c>
      <c r="E12" s="19" t="s">
        <v>43</v>
      </c>
      <c r="F12" s="19" t="s">
        <v>20</v>
      </c>
      <c r="G12" s="24" t="s">
        <v>61</v>
      </c>
      <c r="H12" s="25">
        <v>46142</v>
      </c>
      <c r="I12" s="37"/>
      <c r="J12" s="20" t="s">
        <v>25</v>
      </c>
      <c r="K12" s="19" t="s">
        <v>26</v>
      </c>
      <c r="L12" s="19" t="s">
        <v>32</v>
      </c>
      <c r="M12" s="19" t="s">
        <v>33</v>
      </c>
      <c r="N12" s="21"/>
      <c r="P12" s="33" t="s">
        <v>67</v>
      </c>
      <c r="Q12" s="30">
        <f t="shared" si="0"/>
        <v>2</v>
      </c>
    </row>
    <row r="13" spans="1:17" ht="15.75">
      <c r="A13" s="19">
        <v>11</v>
      </c>
      <c r="B13" s="24" t="s">
        <v>79</v>
      </c>
      <c r="C13" s="19" t="s">
        <v>80</v>
      </c>
      <c r="D13" s="19" t="s">
        <v>78</v>
      </c>
      <c r="E13" s="19" t="s">
        <v>56</v>
      </c>
      <c r="F13" s="19" t="s">
        <v>73</v>
      </c>
      <c r="G13" s="24" t="s">
        <v>81</v>
      </c>
      <c r="H13" s="25">
        <v>46599</v>
      </c>
      <c r="I13" s="37"/>
      <c r="J13" s="20" t="s">
        <v>69</v>
      </c>
      <c r="K13" s="19" t="s">
        <v>82</v>
      </c>
      <c r="L13" s="19" t="s">
        <v>34</v>
      </c>
      <c r="M13" s="20" t="s">
        <v>35</v>
      </c>
      <c r="N13" s="21"/>
      <c r="P13" s="33" t="s">
        <v>41</v>
      </c>
      <c r="Q13" s="30">
        <f t="shared" si="0"/>
        <v>2</v>
      </c>
    </row>
    <row r="14" spans="1:17" ht="15.75">
      <c r="A14" s="19">
        <v>12</v>
      </c>
      <c r="B14" s="24" t="s">
        <v>83</v>
      </c>
      <c r="C14" s="19" t="s">
        <v>84</v>
      </c>
      <c r="D14" s="19" t="s">
        <v>85</v>
      </c>
      <c r="E14" s="19" t="s">
        <v>23</v>
      </c>
      <c r="F14" s="19" t="s">
        <v>20</v>
      </c>
      <c r="G14" s="24" t="s">
        <v>61</v>
      </c>
      <c r="H14" s="25">
        <v>46142</v>
      </c>
      <c r="I14" s="37"/>
      <c r="J14" s="20" t="s">
        <v>51</v>
      </c>
      <c r="K14" s="19" t="s">
        <v>75</v>
      </c>
      <c r="L14" s="19" t="s">
        <v>58</v>
      </c>
      <c r="M14" s="20" t="s">
        <v>86</v>
      </c>
      <c r="N14" s="21"/>
      <c r="P14" s="33" t="s">
        <v>47</v>
      </c>
      <c r="Q14" s="30">
        <f t="shared" si="0"/>
        <v>2</v>
      </c>
    </row>
    <row r="15" spans="1:17" ht="15.75">
      <c r="A15" s="19">
        <v>13</v>
      </c>
      <c r="B15" s="24" t="s">
        <v>87</v>
      </c>
      <c r="C15" s="19" t="s">
        <v>88</v>
      </c>
      <c r="D15" s="19" t="s">
        <v>85</v>
      </c>
      <c r="E15" s="19" t="s">
        <v>47</v>
      </c>
      <c r="F15" s="19" t="s">
        <v>73</v>
      </c>
      <c r="G15" s="24" t="s">
        <v>81</v>
      </c>
      <c r="H15" s="25">
        <v>46599</v>
      </c>
      <c r="I15" s="37"/>
      <c r="J15" s="20" t="s">
        <v>67</v>
      </c>
      <c r="K15" s="19" t="s">
        <v>68</v>
      </c>
      <c r="L15" s="19" t="s">
        <v>34</v>
      </c>
      <c r="M15" s="18" t="s">
        <v>35</v>
      </c>
      <c r="N15" s="21"/>
      <c r="P15" s="33" t="s">
        <v>32</v>
      </c>
      <c r="Q15" s="30">
        <f t="shared" si="0"/>
        <v>2</v>
      </c>
    </row>
    <row r="16" spans="1:17" ht="15.75">
      <c r="A16" s="19">
        <v>14</v>
      </c>
      <c r="B16" s="24" t="s">
        <v>89</v>
      </c>
      <c r="C16" s="19" t="s">
        <v>90</v>
      </c>
      <c r="D16" s="19" t="s">
        <v>91</v>
      </c>
      <c r="E16" s="19" t="s">
        <v>41</v>
      </c>
      <c r="F16" s="19" t="s">
        <v>73</v>
      </c>
      <c r="G16" s="24" t="s">
        <v>92</v>
      </c>
      <c r="H16" s="27">
        <v>46326</v>
      </c>
      <c r="I16" s="37"/>
      <c r="J16" s="20" t="s">
        <v>23</v>
      </c>
      <c r="K16" s="19" t="s">
        <v>24</v>
      </c>
      <c r="L16" s="19" t="s">
        <v>43</v>
      </c>
      <c r="M16" s="20" t="s">
        <v>74</v>
      </c>
      <c r="N16" s="21"/>
      <c r="P16" s="33" t="s">
        <v>69</v>
      </c>
      <c r="Q16" s="30">
        <f t="shared" si="0"/>
        <v>2</v>
      </c>
    </row>
    <row r="17" spans="1:17" ht="15.75">
      <c r="A17" s="19">
        <v>15</v>
      </c>
      <c r="B17" s="24" t="s">
        <v>93</v>
      </c>
      <c r="C17" s="19" t="s">
        <v>94</v>
      </c>
      <c r="D17" s="19" t="s">
        <v>91</v>
      </c>
      <c r="E17" s="19" t="s">
        <v>51</v>
      </c>
      <c r="F17" s="19" t="s">
        <v>73</v>
      </c>
      <c r="G17" s="24" t="s">
        <v>92</v>
      </c>
      <c r="H17" s="25">
        <v>46326</v>
      </c>
      <c r="I17" s="37"/>
      <c r="J17" s="20" t="s">
        <v>39</v>
      </c>
      <c r="K17" s="19" t="s">
        <v>40</v>
      </c>
      <c r="L17" s="19" t="s">
        <v>19</v>
      </c>
      <c r="M17" s="20" t="s">
        <v>55</v>
      </c>
      <c r="N17" s="21"/>
      <c r="P17" s="34" t="s">
        <v>34</v>
      </c>
      <c r="Q17" s="31">
        <f t="shared" si="0"/>
        <v>3</v>
      </c>
    </row>
    <row r="18" spans="1:17" ht="15.75">
      <c r="A18" s="19">
        <v>16</v>
      </c>
      <c r="B18" s="24" t="s">
        <v>95</v>
      </c>
      <c r="C18" s="19" t="s">
        <v>96</v>
      </c>
      <c r="D18" s="19" t="s">
        <v>91</v>
      </c>
      <c r="E18" s="19" t="s">
        <v>58</v>
      </c>
      <c r="F18" s="19" t="s">
        <v>97</v>
      </c>
      <c r="G18" s="35" t="s">
        <v>98</v>
      </c>
      <c r="H18" s="25">
        <v>46630</v>
      </c>
      <c r="I18" s="37"/>
      <c r="J18" s="20" t="s">
        <v>19</v>
      </c>
      <c r="K18" s="19" t="s">
        <v>55</v>
      </c>
      <c r="L18" s="19" t="s">
        <v>56</v>
      </c>
      <c r="M18" s="20" t="s">
        <v>57</v>
      </c>
      <c r="N18" s="21"/>
    </row>
    <row r="19" spans="1:17" ht="15.75">
      <c r="A19" s="11">
        <v>17</v>
      </c>
      <c r="B19" s="12" t="s">
        <v>99</v>
      </c>
      <c r="C19" s="11" t="s">
        <v>100</v>
      </c>
      <c r="D19" s="11" t="s">
        <v>91</v>
      </c>
      <c r="E19" s="11" t="s">
        <v>49</v>
      </c>
      <c r="F19" s="11" t="s">
        <v>20</v>
      </c>
      <c r="G19" s="12" t="s">
        <v>38</v>
      </c>
      <c r="H19" s="26">
        <v>46691</v>
      </c>
      <c r="I19" s="38"/>
      <c r="J19" s="13" t="s">
        <v>58</v>
      </c>
      <c r="K19" s="11" t="s">
        <v>86</v>
      </c>
      <c r="L19" s="11" t="s">
        <v>25</v>
      </c>
      <c r="M19" s="13" t="s">
        <v>26</v>
      </c>
      <c r="N19" s="15"/>
    </row>
    <row r="20" spans="1:17" ht="15.75">
      <c r="A20" s="7"/>
      <c r="B20" s="8"/>
      <c r="C20" s="7"/>
      <c r="D20" s="7"/>
      <c r="E20" s="7"/>
      <c r="F20" s="7"/>
      <c r="G20" s="8"/>
      <c r="H20" s="9"/>
      <c r="I20" s="7"/>
      <c r="J20" s="6"/>
      <c r="K20" s="7"/>
      <c r="L20" s="7"/>
      <c r="M20" s="10"/>
      <c r="N20" s="7"/>
    </row>
    <row r="21" spans="1:17" ht="15.75">
      <c r="A21" s="7"/>
      <c r="B21" s="8"/>
      <c r="C21" s="7"/>
      <c r="D21" s="7"/>
      <c r="E21" s="7"/>
      <c r="F21" s="7"/>
      <c r="G21" s="8"/>
      <c r="H21" s="9"/>
      <c r="I21" s="7"/>
      <c r="J21" s="6"/>
      <c r="K21" s="7"/>
      <c r="L21" s="7"/>
      <c r="M21" s="10"/>
      <c r="N21" s="7"/>
    </row>
    <row r="22" spans="1:17" ht="15.75">
      <c r="A22" s="7"/>
      <c r="B22" s="8"/>
      <c r="C22" s="7"/>
      <c r="D22" s="7"/>
      <c r="E22" s="7"/>
      <c r="F22" s="7"/>
      <c r="G22" s="8"/>
      <c r="H22" s="9"/>
      <c r="I22" s="7"/>
      <c r="J22" s="6"/>
      <c r="K22" s="7"/>
      <c r="L22" s="7"/>
      <c r="M22" s="10"/>
      <c r="N22" s="7"/>
    </row>
  </sheetData>
  <mergeCells count="3">
    <mergeCell ref="G1:H1"/>
    <mergeCell ref="J1:M1"/>
    <mergeCell ref="A1:F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14F42BB571C174A8CFFD983452FCC05" ma:contentTypeVersion="14" ma:contentTypeDescription="Create a new document." ma:contentTypeScope="" ma:versionID="a8a70b67efcfe98f85e246bdda75a6a4">
  <xsd:schema xmlns:xsd="http://www.w3.org/2001/XMLSchema" xmlns:xs="http://www.w3.org/2001/XMLSchema" xmlns:p="http://schemas.microsoft.com/office/2006/metadata/properties" xmlns:ns2="d608b43f-bfac-4116-ae2f-2654f04dc4f2" xmlns:ns3="f05f1c5d-c52e-4d54-83d1-a52e4aeefd52" targetNamespace="http://schemas.microsoft.com/office/2006/metadata/properties" ma:root="true" ma:fieldsID="44d91289d0f256bedd12fdd56c47cdeb" ns2:_="" ns3:_="">
    <xsd:import namespace="d608b43f-bfac-4116-ae2f-2654f04dc4f2"/>
    <xsd:import namespace="f05f1c5d-c52e-4d54-83d1-a52e4aeefd5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BillingMetadata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608b43f-bfac-4116-ae2f-2654f04dc4f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1a16348-86a9-4153-a534-716e536704a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5f1c5d-c52e-4d54-83d1-a52e4aeefd5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be773a3-2a48-487a-a9d1-73543309e2e9}" ma:internalName="TaxCatchAll" ma:showField="CatchAllData" ma:web="f05f1c5d-c52e-4d54-83d1-a52e4aeefd5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d608b43f-bfac-4116-ae2f-2654f04dc4f2">
      <Terms xmlns="http://schemas.microsoft.com/office/infopath/2007/PartnerControls"/>
    </lcf76f155ced4ddcb4097134ff3c332f>
    <TaxCatchAll xmlns="f05f1c5d-c52e-4d54-83d1-a52e4aeefd52" xsi:nil="true"/>
  </documentManagement>
</p:properties>
</file>

<file path=customXml/itemProps1.xml><?xml version="1.0" encoding="utf-8"?>
<ds:datastoreItem xmlns:ds="http://schemas.openxmlformats.org/officeDocument/2006/customXml" ds:itemID="{EDF6A11D-5C67-42EF-99BE-F963F36F73B2}"/>
</file>

<file path=customXml/itemProps2.xml><?xml version="1.0" encoding="utf-8"?>
<ds:datastoreItem xmlns:ds="http://schemas.openxmlformats.org/officeDocument/2006/customXml" ds:itemID="{E9C00A46-5BCF-491D-B31E-33DC8B928E40}"/>
</file>

<file path=customXml/itemProps3.xml><?xml version="1.0" encoding="utf-8"?>
<ds:datastoreItem xmlns:ds="http://schemas.openxmlformats.org/officeDocument/2006/customXml" ds:itemID="{6F0F234E-F693-456F-A3F2-CB6261175C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Αντωνιος Μακρης</cp:lastModifiedBy>
  <cp:revision/>
  <dcterms:created xsi:type="dcterms:W3CDTF">2024-11-07T10:39:45Z</dcterms:created>
  <dcterms:modified xsi:type="dcterms:W3CDTF">2025-05-22T12:57:59Z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0x010100314F42BB571C174A8CFFD983452FCC05</vt:lpwstr>
  </property>
  <property fmtid="{D5CDD505-2E9C-101B-9397-08002B2CF9AE}" pid="3" name="MediaServiceImageTags">
    <vt:lpwstr/>
  </property>
</Properties>
</file>