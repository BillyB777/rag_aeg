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mc:AlternateContent xmlns:mc="http://schemas.openxmlformats.org/markup-compatibility/2006">
    <mc:Choice Requires="x15">
      <x15ac:absPath xmlns:x15ac="http://schemas.microsoft.com/office/spreadsheetml/2010/11/ac" url="https://ntuagr.sharepoint.com/teams/CoEvolution-EU/Shared Documents/General/WP3/Task3.1/"/>
    </mc:Choice>
  </mc:AlternateContent>
  <xr:revisionPtr revIDLastSave="528" documentId="13_ncr:1_{C5F9EEF1-443B-114B-AD33-D86B5A1B7EFB}" xr6:coauthVersionLast="47" xr6:coauthVersionMax="47" xr10:uidLastSave="{C1A97753-C210-4977-877A-CE8C305BE02E}"/>
  <bookViews>
    <workbookView xWindow="0" yWindow="740" windowWidth="29400" windowHeight="18380" xr2:uid="{00000000-000D-0000-FFFF-FFFF00000000}"/>
  </bookViews>
  <sheets>
    <sheet name="Technical Requir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tc={AAB54FCF-182B-4EFC-809F-6815C95E5059}</author>
  </authors>
  <commentList>
    <comment ref="F30" authorId="0" shapeId="0" xr:uid="{AAB54FCF-182B-4EFC-809F-6815C95E5059}">
      <text>
        <t>[Threaded comment]
Your version of Excel allows you to read this threaded comment; however, any edits to it will get removed if the file is opened in a newer version of Excel. Learn more: https://go.microsoft.com/fwlink/?linkid=870924
Comment:
    the difference between poisoned detection rate and data clean detection rate is not clear to me (and same for the repair rate)</t>
      </text>
    </comment>
  </commentList>
</comments>
</file>

<file path=xl/sharedStrings.xml><?xml version="1.0" encoding="utf-8"?>
<sst xmlns="http://schemas.openxmlformats.org/spreadsheetml/2006/main" count="249" uniqueCount="135">
  <si>
    <t>Technical Requirements</t>
  </si>
  <si>
    <t>ID</t>
  </si>
  <si>
    <t>TR Description</t>
  </si>
  <si>
    <t>Component(s) Association</t>
  </si>
  <si>
    <t xml:space="preserve">Task </t>
  </si>
  <si>
    <t>Rationale</t>
  </si>
  <si>
    <t>Comments</t>
  </si>
  <si>
    <t>Type</t>
  </si>
  <si>
    <t>The CoEvolution dashboard must support authentication mechanisms to verify user identities and authorize appropriate access levels.</t>
  </si>
  <si>
    <t>CoEvolution Dashboard/Hub</t>
  </si>
  <si>
    <t>Functional</t>
  </si>
  <si>
    <t>Users should be able to upload AI model architecture/design in a structured format through a UI (CoEvolution dashboard)</t>
  </si>
  <si>
    <t>User provides an initial draft design of an AI model to RAGRE.</t>
  </si>
  <si>
    <t>A robust mechanism should be in place to protect the dashboard and its APIs from cyber threats, particularly DoS attacks.</t>
  </si>
  <si>
    <t>Rate Limiting
Firewall</t>
  </si>
  <si>
    <t>Non-Functional</t>
  </si>
  <si>
    <t>A robust message queue system for asynchronous, decoupled communication</t>
  </si>
  <si>
    <t>Communication Infrastructure/Orchestrator</t>
  </si>
  <si>
    <t>RabbitMQ, Apache Kafka, Redis Streams, etc. 
Support: Publish/subscribe patterns (broadcasting events like risk updates), Point-to-point messaging (direct request-response flows)</t>
  </si>
  <si>
    <t>The orchestrator should be able to know what services are active and how to reach them automatically</t>
  </si>
  <si>
    <t>A service registry (e.g., Consul, Eureka, etcd) to register tools, engines, or services dynamically</t>
  </si>
  <si>
    <t>The orchestrator should coordinate the order of actions when multiple engines are involved in a task</t>
  </si>
  <si>
    <t>Support defining workflow pipelines, where each step may trigger different engines (e.g., Risk Assessment -&gt; Guidelines -&gt; Data Generation)</t>
  </si>
  <si>
    <t>The orchestrator should provide a unified API gateway and protocol abstraction and act as a single entry point for internal and external communication</t>
  </si>
  <si>
    <t>Expose a centralized RESTful or gRPC API for interaction between engines and the dashboard.
Normalize different communication protocols (e.g., REST - messaging queues)</t>
  </si>
  <si>
    <t>The orchestrator sould be deployed as a stateless service, allowing horizontal scaling, automatic recovery and load balancing</t>
  </si>
  <si>
    <t>Kubernetes</t>
  </si>
  <si>
    <t>The orchestrator should expose operational and performance metrics to support real-time monitoring, diagnostics, and performance analysis</t>
  </si>
  <si>
    <t>Prometheus and Grafana for real-time monitoring</t>
  </si>
  <si>
    <t>The orchestrator should define and enforce a standard internal data schema to ensures seamless communication between engines using different data formats or schemas</t>
  </si>
  <si>
    <t>Define a common internal schema (e.g., based on JSON Schema).
Provide format converters and serializers/deserializers as part of the orchestrator.</t>
  </si>
  <si>
    <t>The orchestrator should maintain a complete, timestamped audit trail of orchestration events for debuggin, compliance and trust</t>
  </si>
  <si>
    <t>Log all orchestration events (start, complete, fail) with timestamps, component IDs, and payload metadata.</t>
  </si>
  <si>
    <t>The communication infrastructure should be safeguarded to protect the data flow between components</t>
  </si>
  <si>
    <t>Communication Infrastructure</t>
  </si>
  <si>
    <t>Support JWT, OAuth2, or API key-based authentication for accessing orchestrator APIs.
Implement role-based access control (RBAC), e.g., different permissions for dashboard users, engines, and services.
Encrypt communication using TLS (SSL) to secure all data-in-transit.
Integrate with credential management tools for securely storing and handling engine credentials</t>
  </si>
  <si>
    <t>Store AI models, datasets, AI MBOMs, reports and defence tools  in a scalable object storage system, organized by logical pools (e.g., Security Assurance Pool, Report Pool, Assessment pool, Trust Resources Pool and Defence Tools)</t>
  </si>
  <si>
    <t>CoEvolution Knowledge Base</t>
  </si>
  <si>
    <t>e.g. MinIO</t>
  </si>
  <si>
    <t>Each stored object should include versioning and metadata tags to classify them by type, source, and pool but also to support advanced querying, filtering, and indexing across the pools</t>
  </si>
  <si>
    <t>Access to the pools must be strictly controlled with authentication and authorization mechanisms</t>
  </si>
  <si>
    <t xml:space="preserve">Enforce strict access control based on user roles
Define RBAC roles
</t>
  </si>
  <si>
    <t>The CoEvolution Knowledge Base must expose secure APIs or internal service connectors that allow engines/components to  access the logical pools</t>
  </si>
  <si>
    <t>RESTful APIs (OAuth 2.0 / OpenID Connect for authentication 
API key-based access control for external systems/components)
TLS for secure API requests</t>
  </si>
  <si>
    <t>The AI MBOM must be stored in a structured format that supports detailed AI security metadata (CoEvolution Security Assurance Pool)</t>
  </si>
  <si>
    <t>CoEvolution Knowledge Base/ AI MBOM Pool</t>
  </si>
  <si>
    <t>The format should comply with SPDX or a similar standard.
AI MBOM should include:
Model Identification (ID, Model Name, Version)
Adversarial Attack Vulnerabilities 
Defense Flows Applied (Security Enhancements &amp; Robustification)
Security Assessment Scores (Adversarial robustness metrics)
Regulatory Compliance Status (GDPR, ISO/IEC, AI Act)
Model Dependencies (ML/DL libraries, training datasets, model structure, capabilities, etc.)</t>
  </si>
  <si>
    <t>Implement a three-tiered access control for AI MBOM visibility:
- Tier 1 (Public): Security Scrutiny Guarantee, that a specific model has been thoroughly vetted and tested by the CoEvolution solution
- Tier 2 (Restricted): provides all Assessment and Audit Results, as well Risk disclosure without providing any details about the internals of the model within the AI MBOM
- Tier 3 (Confidential): complete access to the information residing in the AI MBOM (accessible only to authorized entities)</t>
  </si>
  <si>
    <t>RBAC (Role-Based Access Control)
OAuth 2.0 / OpenID Connect for authentication
IAM (Identity and Access Management) solutions such as Keycloak</t>
  </si>
  <si>
    <t>A structured format to represent AI model design components, including layers, activation functions, training parameters and other architectural choices</t>
  </si>
  <si>
    <t>Risk Assessment and Guidelines/Recommendations Engine (RAGRE)</t>
  </si>
  <si>
    <t>Task 5.3</t>
  </si>
  <si>
    <t>JSON, XML, YAML or a domain-specific language</t>
  </si>
  <si>
    <t>Access and query knowledge bases such as AI Risk Database, MITRE ATLAS, OWASP AI Security, NIST AI 100-2 E2023, CVSS 4.0 for vulnerability scoring CAPEC, ISO 27001 for cybersecurity compliance. Should support API-based integration for real-time updates as well as a parser module to extract and structure information from raw threat intelligence data</t>
  </si>
  <si>
    <t>Risk Assessment and Guidelines/Recommendations Engine (RAGRE) &amp; Security
Testing/Assessment</t>
  </si>
  <si>
    <t>The above two engines draw information from existing open source knowledge bases on AI supply chain related risk and/or adversary attacks/vulnerabilities like the AI Risk Database and MITRE ATLAS - Integration with AI Security Knowledge Bases.</t>
  </si>
  <si>
    <t xml:space="preserve">The engine should incorporate compliance checks for GDPR, EU AI Act, and Digital Services Act (DSA) (e.g. scan AI models for privacy violations) </t>
  </si>
  <si>
    <t>The component will investigate the emergent threats and risks that pose the possible violations of the relevant legislation including GDPR, Digital Services Act (DSA) and proposed EU AI Act in order to tackle data privacy and ethical consideration and ensure clear and transparent view of AI models' decisions and appropriate data usage for ethical and responsible AI development.</t>
  </si>
  <si>
    <t xml:space="preserve">The engine should be able to break down AI models into granular components and associate them with security risks using a risk taxonomy drawn from knowledge bases </t>
  </si>
  <si>
    <t>It provides for a given AI model design AI-associated risks related to the model’s chosen design structure, employed type, training/testing/validation as well as its deployment in an AI supply chain.</t>
  </si>
  <si>
    <t>Example: AI component (part): Model Architecture (e.g., CNN, Transformer) - Potential Risk: Model inversion &amp; membership inference risks - Source of risk information: AI Risk Database, OWASP AI Security</t>
  </si>
  <si>
    <t xml:space="preserve">The engine should automatically suggest/recommend mitigation techniques based on identified risks. Each mitigation recommendation should be automatically linked to a defense tool from the STR Defense Framework. </t>
  </si>
  <si>
    <t>Based on the discovered risks the engine provides actionable insights on risk mitigation associating each risk with recommended mitigation techniques and tools from the CoEvolution Security Trust and Robustness Defense Framework.</t>
  </si>
  <si>
    <t xml:space="preserve">Example: Detected Risk: Susceptibility to adversarial evasion attacks - Recommended Mitigation: Adversarial training, gradient masking - STR Defense Framework: ART (Adversarial Robustness Toolbox)
</t>
  </si>
  <si>
    <t xml:space="preserve">The engine must generate a structured Risk Analysis &amp; Guidelines Report </t>
  </si>
  <si>
    <t>Output: Risk Analysis &amp; Guidelines Report (format: JSON, XML, YAML, etc.) (Identified Risks: Categorized per AI model component (part), Recommended Mitigation Strategies (Linked to STR Defense Framework))</t>
  </si>
  <si>
    <t>The engine must support automated (or manual) submission of newly discovered vulnerabilities to AI security knowledge bases</t>
  </si>
  <si>
    <t>Format vulnerability reports using JSON, XML, YAML or a CVE-compatible schema. Use API-based calls or implemented tools (e.g., ai-risk-database: https://github.com/mitre-atlas/ai-risk-database).</t>
  </si>
  <si>
    <t>The engine must support security testing of AI models at different phases, design, training and deployment, applying black box, white box and grey box attacks</t>
  </si>
  <si>
    <t>Security Testing/Assessment</t>
  </si>
  <si>
    <t>Task 4.1, Task 5.3</t>
  </si>
  <si>
    <t>Ensures vulnerabilities are detected before model deployment, improving robustness at each stage.</t>
  </si>
  <si>
    <t xml:space="preserve">Design Phase: Identifying weaknesses in model architecture, activation functions, and parameter settings.
Training Phase: Assessing training data poisoning, bias detection, fairness violations (anonymity/privacy of training data as well as
possible adversarial poisoning on the training/testing/verification datasets)
Deployment Phase: Detecting inference-time adversarial attacks 
Tools: using as a starting point well-provisioned Adversarial attack libraries like SecML-Torch and  Adversarial Robustness
Toolbox (ART) 
</t>
  </si>
  <si>
    <t>The engine should develop an AI model fuzzer that generates adversarial inputs to probe black-box AI models (including third-party AI models) and detect evidence of known vulnerabilities and identify potential zero-day attacks</t>
  </si>
  <si>
    <t>The engine must generate detailed Adversarial Attack metrics to quantify AI model exposure to attacks</t>
  </si>
  <si>
    <t>Task 4.1, Task 4.2, Task 5.3</t>
  </si>
  <si>
    <t>Adversarial Attack metrics Include:
Poisoned Detection Rate 
Poisoned Repair Rate
Data Clean Detection rate
Data Clean Repair Rate</t>
  </si>
  <si>
    <t xml:space="preserve">The engine must generate a structured Assessment Report </t>
  </si>
  <si>
    <t>Output: The provided values (Adversarial Attack metrics) generated by the engine, will be included in the STR Assessment engine report.
format: e.g. JSON, XML, YAML, etc.</t>
  </si>
  <si>
    <t>The Risk Analysis &amp; Guidelines Reports along with the Assessment Report should be stored in the CoEvolution Knowledge Base (CoEvolution Report Pool)</t>
  </si>
  <si>
    <t>The Security Assurance Engine must collect and integrate reports from the: 
a) Risk Assessment, Guidelines &amp; Recommendations Engine 
b) Security Testing/Assessment Engine (T5.3)
c) CoEvolution Security, Trust, Robustness Defence Framework (WP4)</t>
  </si>
  <si>
    <t>Security, Trust, Robustness Assurance Engine</t>
  </si>
  <si>
    <t>Task 5.4</t>
  </si>
  <si>
    <t>Collects and orchestrates the reports that are created from the tools, this ensures all the reports are collected and pushed to the knowledge base</t>
  </si>
  <si>
    <t>Data aggregation must be real-time using a message broker (e.g., Kafka) to handle asynchronous security updates.
Security reports should be structured (e.g. JSON, XML, YAML) and stored in an object storage system (e.g. MinIO)</t>
  </si>
  <si>
    <t xml:space="preserve">These reports form a final security assessment, which is produced in order to associate the final generated AI model with the associated AI MBOM
</t>
  </si>
  <si>
    <t xml:space="preserve">Ensures that all processes and actions align with the guidelines, as outlined in task T1.5. 
These guidelines are critical for fostering security, transparency and accountability in AI systems. By adhering to these standards we are ensuring the reports that are pushed to the knowledge base are accurate and follow the guidlines. </t>
  </si>
  <si>
    <t>The engine must automatically generate an AI Model Bill of Materials (AI MBOM) that includes structured history of AI model security vulnerabilities &amp; risk mitigation, security enhancement/mitigation techniques applied throughout the AI lifecycle, additional AI model metadata (e.g., dependencies, training datasets, ML/DL libraries, model structure, capabilities, discoveredsecurity/adversarial attack vulnerabilities and their mitigation measures)
The format should comply with SPDX or a similar standard.
AI MBOM should include:
Unique AI model identifier
Vulnerabilities &amp; risk history
Applied security enhancements/mitigations
List of AI model dependencies
AI deployment gadgets used for runtime security
etc.</t>
  </si>
  <si>
    <t>The generated AI MBOM must be stored in the CoEvolution AI MBOM pool for tracking and future verification</t>
  </si>
  <si>
    <t>This reports must be able to be reused and verified ensuring transparency among reports and AIMBOMs.</t>
  </si>
  <si>
    <t>The Data Generator should support the creation of trusted synthetic datasets by utilizing adversarially robust generative techniques (e.g., GANs, VAEs, Diffusion Models)</t>
  </si>
  <si>
    <t>Data Generation (Simulation)</t>
  </si>
  <si>
    <t>Task 6.2</t>
  </si>
  <si>
    <t>AVISENSE: For the pilot 2, the data generator can be also utilized the AVISENSE's simulator platform based on the CARLA to generate realistic trajectories and annotated data for the examing perception algorithms with and without adversarial attacks</t>
  </si>
  <si>
    <t>The Data Generation must support data augmentation mechanisms (e.g., perturbation, transformations, noise injection) to generate adversarial data</t>
  </si>
  <si>
    <t>Using the latest techniques for creating perturbated data from existing datasets (adopting Generative Learning techniques and focusing on attacks like Adversarial sample Generation and Model Inversion attacks)</t>
  </si>
  <si>
    <t>The Data Generation must store generated synthetic data in the Trusted Data Pool (TrustResourcesPool) in a structured format (e.g., JSON, CSV)</t>
  </si>
  <si>
    <t>The system must log all dataset modifications, synthetic data generations, and adversarial attack simulations for auditing purposes, integrating with the AI MBOM Pool</t>
  </si>
  <si>
    <t>The idea is to monitor the modifications in order for them to be included in the AI MBOM.</t>
  </si>
  <si>
    <t>The Data Generation system must communicate with the Trusted Data Pool (TrustResourcesPool) via a secure, standardized API</t>
  </si>
  <si>
    <t>The Data Generator must be able to simulate adversarial attack scenarios for AI evaluation. For the evaluation phase, virtual environments will be created and deployed for evaluating the generated AI models</t>
  </si>
  <si>
    <t>This component, in addition to generating data, will create simulations—virtual environments—to evaluate the models. It will also generate attacks</t>
  </si>
  <si>
    <t>The Context Awareness engine must support secure, efficient communication protocols for continuous data exchange between context-awareness modules, CDS component, RAGRE and deployed gadgets</t>
  </si>
  <si>
    <t>Context Awareness Engine / Context-Aware-Decision Support (CDS) / RAGRE / gadgets</t>
  </si>
  <si>
    <t>Task 4.4, Task 5.5</t>
  </si>
  <si>
    <t>The CDS will use the evolved context vectors from the Central Context Awareness Engine, as well as the suggestions from RAGRE to learn the optimal policy about protocol adaptations and other operational parameters.</t>
  </si>
  <si>
    <t>The initial context aware vectors are constructed locally (on-device). Each deployed AI model must locally construct context vectors from a carefully selected subset of available sensory inputs, implementing a "limited field of vision" approach to optimize resource usage and reduce computational complexity</t>
  </si>
  <si>
    <t>Context Aware Vectors</t>
  </si>
  <si>
    <t>The central engine (at the cloud) must securely receive context vectors constructed on-device from multiple AI models, ensuring data integrity, authenticity, and privacy during transmission from devices to the cloud</t>
  </si>
  <si>
    <t xml:space="preserve">Context Awareness Engine </t>
  </si>
  <si>
    <t>Locally constructed context vectors must be efficiently encoded and securely transmitted from deployed AI models to the Central Context Awareness Engine</t>
  </si>
  <si>
    <t>The central engine must implement genetic algorithms (e.g., crossover, mutation, offspring generation) to dynamically evolve context vectors, optimizing their relevance, resilience, and security effectiveness</t>
  </si>
  <si>
    <t>The CDS will use evolved context vectors as well as the suggestions from RAGRE in order to provide mitigation actions and to choose the optimal policies</t>
  </si>
  <si>
    <t>CDS - RAGRE - Context Vectors</t>
  </si>
  <si>
    <t>The engine must securely collect adversarial attack incident data from deployed AI model gadgets</t>
  </si>
  <si>
    <t xml:space="preserve"> Security Runtime Monitoring (SRME)</t>
  </si>
  <si>
    <t>Task 5.2, Task 4.3</t>
  </si>
  <si>
    <t>Establish secure communication protocols (e.g., TLS) for data transmission
Ensure real-time event processing using a message broker (e.g. Kafka) to handle asynchronous data flows and comprehensive logging</t>
  </si>
  <si>
    <t>Implement event correlation algorithms to associate adversarial attack evidence with known threat categories</t>
  </si>
  <si>
    <t>Security Runtime Monitoring (SRME) / SRME awareness mechanism</t>
  </si>
  <si>
    <t>Task 5.2</t>
  </si>
  <si>
    <t>The engine must forward security incidents and adversarial attack evidence to the Risk Assessment, Guidelines, and Recommendations Engine</t>
  </si>
  <si>
    <t>Task 5.2, Task 5.3</t>
  </si>
  <si>
    <t>Use a message broker (e.g. Kafka)
Structured format (the same utilized by RAGRE)
priorite system based on incidents</t>
  </si>
  <si>
    <t>The SRME must verify the integrity and authenticity of AI MBOMs using digital signature schemes and authentication mechanisms</t>
  </si>
  <si>
    <t>Security Runtime Monitoring (SRME) / SRME AI MBOM Management Mechanism</t>
  </si>
  <si>
    <t xml:space="preserve">Digital signature schemes (e.g. RSA-4096, ECDSA-256) and PKI-based certificate validation to authenticate AI MBOMs
</t>
  </si>
  <si>
    <t>The SRME must validate the unique AI MBOM identifier against the AI Model's generated identifier using the IDENTIFY defense flow gadget</t>
  </si>
  <si>
    <t xml:space="preserve">Retrieve the AI MBOM’s unique identifier from the AI MBOM Pool
Retrieve the AI model’s generated identifier from the IDENTIFY gadget deployed during AI model initialization
Perform a comparison of both identifiers
If the identifiers match, the AI MBOM is validated
If they do not match, the AI MBOM must be revoked </t>
  </si>
  <si>
    <t>The SRME must revoke AI MBOMs if inconsistencies between the MBOM and the AI model are detected and must trigger the DECOMMISSION defense flow gadget to disable AI models associated with revoked AI MBOMs</t>
  </si>
  <si>
    <t>If the AI MBOM is inconsistent with the AI mode, the SRME must revoke the AI MBOM
IF an AI MBOM is revoked, the associated AI model must be decommissioned
Trigger the DECOMMISSION defense flow gadget to remove the model from deployment</t>
  </si>
  <si>
    <t>The SRME must support linking each AI MBOM to an external vulnerability document that can be updated independently when the associated AI model is affected by newly discovered vulnerabilities</t>
  </si>
  <si>
    <t xml:space="preserve">AI MBOM remains static, but can refer to an external file which is subject to change. In this way, only the reference is updated, not the AI MBOM itself. 
</t>
  </si>
  <si>
    <t>The SRME should validate and generate AI MBOMs provided by third-party AI model providers by assigning and maintaining trust scores derived from factors such as source authenticity, validation completeness, training transparency, and known vulnerabilities, in order to quantify and reflect the confidence in the information provided.</t>
  </si>
  <si>
    <t xml:space="preserve">The trust scores should be retrived from RAGRE and reflected in risk assessments. 
Vulnerabilities could be added to the AI MBOM, with lower trust scores reflecting weaker validation. These scores should vary based on the severity or reliability of the vulnerabilities and must be clearly represented within the AI MBOM.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</si>
</sst>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1"/>
      <color theme="1"/>
      <name val="Arial"/>
      <family val="2"/>
      <scheme val="minor"/>
    </font>
    <font>
      <b/>
      <sz val="10"/>
      <color theme="1"/>
      <name val="Arial"/>
      <family val="2"/>
      <scheme val="minor"/>
    </font>
    <font>
      <sz val="10"/>
      <color theme="1"/>
      <name val="Arial"/>
      <family val="2"/>
      <scheme val="minor"/>
    </font>
    <font>
      <sz val="10"/>
      <color rgb="FFEA4335"/>
      <name val="Arial"/>
      <family val="2"/>
      <scheme val="minor"/>
    </font>
    <font>
      <b/>
      <sz val="12"/>
      <color theme="1"/>
      <name val="Arial"/>
      <family val="2"/>
      <scheme val="minor"/>
    </font>
    <font>
      <b/>
      <sz val="10"/>
      <color theme="1"/>
      <name val="Calibri"/>
      <family val="2"/>
    </font>
    <font>
      <b/>
      <i/>
      <sz val="10"/>
      <color theme="1"/>
      <name val="Arial"/>
      <family val="2"/>
      <scheme val="minor"/>
    </font>
    <font>
      <i/>
      <sz val="10"/>
      <color theme="1"/>
      <name val="Arial"/>
      <family val="2"/>
      <scheme val="minor"/>
    </font>
    <font>
      <sz val="10"/>
      <color rgb="FF000000"/>
      <name val="Arial"/>
      <family val="2"/>
      <scheme val="minor"/>
    </font>
  </fonts>
  <fills count="14">
    <fill>
      <patternFill patternType="none"/>
    </fill>
    <fill>
      <patternFill patternType="gray125"/>
    </fill>
    <fill>
      <patternFill patternType="solid">
        <fgColor rgb="FFE0EDEF"/>
        <bgColor rgb="FFE0EDEF"/>
      </patternFill>
    </fill>
    <fill>
      <patternFill patternType="solid">
        <fgColor theme="6"/>
        <bgColor theme="6"/>
      </patternFill>
    </fill>
    <fill>
      <patternFill patternType="solid">
        <fgColor rgb="FFFF9900"/>
        <bgColor rgb="FFFF9900"/>
      </patternFill>
    </fill>
    <fill>
      <patternFill patternType="solid">
        <fgColor rgb="FFD0E0E3"/>
        <bgColor rgb="FFD0E0E3"/>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DD7E6B"/>
        <bgColor rgb="FFDD7E6B"/>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0"/>
        <bgColor indexed="64"/>
      </patternFill>
    </fill>
  </fills>
  <borders count="3">
    <border>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38">
    <xf numFmtId="0" fontId="0" fillId="0" borderId="0" xfId="0"/>
    <xf numFmtId="0" fontId="3" fillId="0" borderId="0" xfId="0" applyFont="1" applyAlignment="1">
      <alignment vertical="top"/>
    </xf>
    <xf numFmtId="0" fontId="3" fillId="0" borderId="0" xfId="0" applyFont="1" applyAlignment="1">
      <alignment vertical="top" wrapText="1"/>
    </xf>
    <xf numFmtId="0" fontId="3" fillId="0" borderId="0" xfId="0" applyFont="1"/>
    <xf numFmtId="0" fontId="3" fillId="0" borderId="0" xfId="0" applyFont="1" applyAlignment="1">
      <alignment wrapText="1"/>
    </xf>
    <xf numFmtId="0" fontId="4" fillId="0" borderId="0" xfId="0" applyFont="1" applyAlignment="1">
      <alignment vertical="center" wrapText="1"/>
    </xf>
    <xf numFmtId="0" fontId="3" fillId="0" borderId="0" xfId="0" applyFont="1"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top"/>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lignment vertical="top"/>
    </xf>
    <xf numFmtId="0" fontId="0" fillId="0" borderId="2" xfId="0" applyBorder="1"/>
    <xf numFmtId="0" fontId="6" fillId="3" borderId="1" xfId="0" applyFont="1" applyFill="1" applyBorder="1" applyAlignment="1">
      <alignment horizontal="center" vertical="top" wrapText="1"/>
    </xf>
    <xf numFmtId="0" fontId="6" fillId="3" borderId="2" xfId="0" applyFont="1" applyFill="1" applyBorder="1" applyAlignment="1">
      <alignment horizontal="center" vertical="top" wrapText="1"/>
    </xf>
    <xf numFmtId="0" fontId="6" fillId="4" borderId="2" xfId="0" applyFont="1" applyFill="1" applyBorder="1" applyAlignment="1">
      <alignment horizontal="center" vertical="top" wrapText="1"/>
    </xf>
    <xf numFmtId="0" fontId="6" fillId="5" borderId="2" xfId="0" applyFont="1" applyFill="1" applyBorder="1" applyAlignment="1">
      <alignment horizontal="center" vertical="top" wrapText="1"/>
    </xf>
    <xf numFmtId="0" fontId="6" fillId="5" borderId="2" xfId="0" applyFont="1" applyFill="1" applyBorder="1" applyAlignment="1">
      <alignment horizontal="center" wrapText="1"/>
    </xf>
    <xf numFmtId="0" fontId="6" fillId="6" borderId="2" xfId="0" applyFont="1" applyFill="1" applyBorder="1" applyAlignment="1">
      <alignment horizontal="center" vertical="top"/>
    </xf>
    <xf numFmtId="0" fontId="6" fillId="7" borderId="2" xfId="0" applyFont="1" applyFill="1" applyBorder="1" applyAlignment="1">
      <alignment horizontal="center" vertical="top"/>
    </xf>
    <xf numFmtId="0" fontId="6" fillId="8" borderId="2" xfId="0" applyFont="1" applyFill="1" applyBorder="1" applyAlignment="1">
      <alignment horizontal="center" vertical="top" wrapText="1"/>
    </xf>
    <xf numFmtId="0" fontId="6" fillId="8" borderId="2" xfId="0" applyFont="1" applyFill="1" applyBorder="1" applyAlignment="1">
      <alignment horizontal="center" vertical="top"/>
    </xf>
    <xf numFmtId="0" fontId="6" fillId="9" borderId="2" xfId="0" applyFont="1" applyFill="1" applyBorder="1" applyAlignment="1">
      <alignment horizontal="center" vertical="top"/>
    </xf>
    <xf numFmtId="0" fontId="6" fillId="9" borderId="2" xfId="0" applyFont="1" applyFill="1" applyBorder="1" applyAlignment="1">
      <alignment horizontal="center" vertical="top" wrapText="1"/>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8" fillId="0" borderId="2" xfId="0" applyFont="1" applyBorder="1" applyAlignment="1">
      <alignment horizontal="center" vertical="top"/>
    </xf>
    <xf numFmtId="0" fontId="2" fillId="11" borderId="1" xfId="0" applyFont="1" applyFill="1" applyBorder="1" applyAlignment="1">
      <alignment horizontal="center" vertical="center"/>
    </xf>
    <xf numFmtId="0" fontId="6" fillId="6" borderId="2" xfId="0" applyFont="1" applyFill="1" applyBorder="1" applyAlignment="1">
      <alignment horizontal="center" vertical="top" wrapText="1"/>
    </xf>
    <xf numFmtId="0" fontId="6" fillId="12" borderId="2" xfId="0" applyFont="1" applyFill="1" applyBorder="1" applyAlignment="1">
      <alignment horizontal="center" vertical="top" wrapText="1"/>
    </xf>
    <xf numFmtId="0" fontId="3" fillId="13" borderId="2" xfId="0" applyFont="1" applyFill="1" applyBorder="1" applyAlignment="1">
      <alignment vertical="top" wrapText="1"/>
    </xf>
    <xf numFmtId="0" fontId="0" fillId="0" borderId="2" xfId="0" applyBorder="1" applyAlignment="1">
      <alignment vertical="top" wrapText="1"/>
    </xf>
    <xf numFmtId="0" fontId="0" fillId="0" borderId="0" xfId="0" applyAlignment="1">
      <alignment wrapText="1"/>
    </xf>
    <xf numFmtId="0" fontId="5" fillId="10" borderId="0" xfId="0" applyFont="1" applyFill="1" applyAlignment="1">
      <alignment horizontal="center" vertical="center"/>
    </xf>
    <xf numFmtId="0" fontId="9"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ura Pintor" id="{DBF81658-9F22-4026-8AD9-E2914B6434ED}" userId="S::maura.pintor_unica.it#ext#@ntuagr.onmicrosoft.com::74c42851-3b38-4b20-9181-e3e282c4d09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0" dT="2025-03-24T14:04:27.61" personId="{DBF81658-9F22-4026-8AD9-E2914B6434ED}" id="{AAB54FCF-182B-4EFC-809F-6815C95E5059}">
    <text>the difference between poisoned detection rate and data clean detection rate is not clear to me (and same for the repair rate)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G104"/>
  <sheetViews>
    <sheetView tabSelected="1" topLeftCell="B1" workbookViewId="0">
      <pane ySplit="2" topLeftCell="A16" activePane="bottomLeft" state="frozen"/>
      <selection pane="bottomLeft" activeCell="F47" sqref="F47"/>
    </sheetView>
  </sheetViews>
  <sheetFormatPr defaultColWidth="12.7109375" defaultRowHeight="15.75" customHeight="1"/>
  <cols>
    <col min="1" max="1" width="22.140625" customWidth="1"/>
    <col min="2" max="2" width="57.140625" customWidth="1"/>
    <col min="3" max="3" width="35.28515625" customWidth="1"/>
    <col min="4" max="4" width="27.140625" customWidth="1"/>
    <col min="5" max="5" width="39.140625" customWidth="1"/>
    <col min="6" max="6" width="63" customWidth="1"/>
    <col min="7" max="7" width="15.42578125" customWidth="1"/>
  </cols>
  <sheetData>
    <row r="1" spans="1:7" ht="21.75" customHeight="1">
      <c r="A1" s="36" t="s">
        <v>0</v>
      </c>
      <c r="B1" s="36"/>
      <c r="C1" s="36"/>
      <c r="D1" s="36"/>
      <c r="E1" s="36"/>
      <c r="F1" s="36"/>
      <c r="G1" s="36"/>
    </row>
    <row r="2" spans="1:7" ht="22.5" customHeight="1">
      <c r="A2" s="7" t="s">
        <v>1</v>
      </c>
      <c r="B2" s="8" t="s">
        <v>2</v>
      </c>
      <c r="C2" s="8" t="s">
        <v>3</v>
      </c>
      <c r="D2" s="8" t="s">
        <v>4</v>
      </c>
      <c r="E2" s="8" t="s">
        <v>5</v>
      </c>
      <c r="F2" s="8" t="s">
        <v>6</v>
      </c>
      <c r="G2" s="8" t="s">
        <v>7</v>
      </c>
    </row>
    <row r="3" spans="1:7" ht="43.5" customHeight="1">
      <c r="A3" s="30" t="str">
        <f t="shared" ref="A3" si="0">IF(G3="Functional", "F_TR_" &amp; TEXT(ROW()-2, "00"), IF(G3="Non-Functional", "NF_TR_" &amp; TEXT(ROW()-2, "00"), ""))</f>
        <v>F_TR_01</v>
      </c>
      <c r="B3" s="9" t="s">
        <v>8</v>
      </c>
      <c r="C3" s="16" t="s">
        <v>9</v>
      </c>
      <c r="D3" s="27"/>
      <c r="E3" s="10"/>
      <c r="F3" s="11"/>
      <c r="G3" t="s">
        <v>10</v>
      </c>
    </row>
    <row r="4" spans="1:7" ht="27.75" customHeight="1">
      <c r="A4" s="30" t="str">
        <f>IF(G4="Functional", "F_TR_" &amp; TEXT(ROW()-2, "00"), IF(G4="Non-Functional", "NF_TR_" &amp; TEXT(ROW()-2, "00"), ""))</f>
        <v>F_TR_02</v>
      </c>
      <c r="B4" s="12" t="s">
        <v>11</v>
      </c>
      <c r="C4" s="17" t="s">
        <v>9</v>
      </c>
      <c r="D4" s="28"/>
      <c r="E4" s="12" t="s">
        <v>12</v>
      </c>
      <c r="F4" s="12"/>
      <c r="G4" t="s">
        <v>10</v>
      </c>
    </row>
    <row r="5" spans="1:7" ht="23.25">
      <c r="A5" s="30" t="str">
        <f>IF(G5="Functional", "F_TR_" &amp; TEXT(ROW()-2, "00"), IF(G5="Non-Functional", "NF_TR_" &amp; TEXT(ROW()-2, "00"), ""))</f>
        <v>NF_TR_03</v>
      </c>
      <c r="B5" s="13" t="s">
        <v>13</v>
      </c>
      <c r="C5" s="17" t="s">
        <v>9</v>
      </c>
      <c r="D5" s="28"/>
      <c r="E5" s="14"/>
      <c r="F5" s="12" t="s">
        <v>14</v>
      </c>
      <c r="G5" t="s">
        <v>15</v>
      </c>
    </row>
    <row r="6" spans="1:7" ht="37.5" customHeight="1">
      <c r="A6" s="30" t="str">
        <f>IF(G6="Functional", "F_TR_" &amp; TEXT(ROW()-2, "00"), IF(G6="Non-Functional", "NF_TR_" &amp; TEXT(ROW()-2, "00"), ""))</f>
        <v>F_TR_04</v>
      </c>
      <c r="B6" s="13" t="s">
        <v>16</v>
      </c>
      <c r="C6" s="32" t="s">
        <v>17</v>
      </c>
      <c r="D6" s="28"/>
      <c r="E6" s="14"/>
      <c r="F6" s="12" t="s">
        <v>18</v>
      </c>
      <c r="G6" t="s">
        <v>10</v>
      </c>
    </row>
    <row r="7" spans="1:7" ht="38.25" customHeight="1">
      <c r="A7" s="30" t="str">
        <f>IF(G7="Functional", "F_TR_" &amp; TEXT(ROW()-2, "00"), IF(G7="Non-Functional", "NF_TR_" &amp; TEXT(ROW()-2, "00"), ""))</f>
        <v>NF_TR_05</v>
      </c>
      <c r="B7" s="13" t="s">
        <v>19</v>
      </c>
      <c r="C7" s="32" t="s">
        <v>17</v>
      </c>
      <c r="D7" s="28"/>
      <c r="E7" s="14"/>
      <c r="F7" s="12" t="s">
        <v>20</v>
      </c>
      <c r="G7" t="s">
        <v>15</v>
      </c>
    </row>
    <row r="8" spans="1:7" ht="38.25" customHeight="1">
      <c r="A8" s="30" t="str">
        <f>IF(G8="Functional", "F_TR_" &amp; TEXT(ROW()-2, "00"), IF(G8="Non-Functional", "NF_TR_" &amp; TEXT(ROW()-2, "00"), ""))</f>
        <v>F_TR_06</v>
      </c>
      <c r="B8" s="13" t="s">
        <v>21</v>
      </c>
      <c r="C8" s="32" t="s">
        <v>17</v>
      </c>
      <c r="D8" s="28"/>
      <c r="E8" s="14"/>
      <c r="F8" s="12" t="s">
        <v>22</v>
      </c>
      <c r="G8" t="s">
        <v>10</v>
      </c>
    </row>
    <row r="9" spans="1:7" ht="51.75" customHeight="1">
      <c r="A9" s="30" t="str">
        <f>IF(G9="Functional", "F_TR_" &amp; TEXT(ROW()-2, "00"), IF(G9="Non-Functional", "NF_TR_" &amp; TEXT(ROW()-2, "00"), ""))</f>
        <v>F_TR_07</v>
      </c>
      <c r="B9" s="13" t="s">
        <v>23</v>
      </c>
      <c r="C9" s="32" t="s">
        <v>17</v>
      </c>
      <c r="D9" s="28"/>
      <c r="E9" s="14"/>
      <c r="F9" s="12" t="s">
        <v>24</v>
      </c>
      <c r="G9" t="s">
        <v>10</v>
      </c>
    </row>
    <row r="10" spans="1:7" ht="68.25" customHeight="1">
      <c r="A10" s="30" t="str">
        <f>IF(G10="Functional", "F_TR_" &amp; TEXT(ROW()-2, "00"), IF(G10="Non-Functional", "NF_TR_" &amp; TEXT(ROW()-2, "00"), ""))</f>
        <v>NF_TR_08</v>
      </c>
      <c r="B10" s="13" t="s">
        <v>25</v>
      </c>
      <c r="C10" s="32" t="s">
        <v>17</v>
      </c>
      <c r="D10" s="28"/>
      <c r="E10" s="14"/>
      <c r="F10" s="12" t="s">
        <v>26</v>
      </c>
      <c r="G10" t="s">
        <v>15</v>
      </c>
    </row>
    <row r="11" spans="1:7" ht="64.5" customHeight="1">
      <c r="A11" s="30" t="str">
        <f>IF(G11="Functional", "F_TR_" &amp; TEXT(ROW()-2, "00"), IF(G11="Non-Functional", "NF_TR_" &amp; TEXT(ROW()-2, "00"), ""))</f>
        <v>NF_TR_09</v>
      </c>
      <c r="B11" s="13" t="s">
        <v>27</v>
      </c>
      <c r="C11" s="32" t="s">
        <v>17</v>
      </c>
      <c r="D11" s="28"/>
      <c r="E11" s="14"/>
      <c r="F11" s="12" t="s">
        <v>28</v>
      </c>
      <c r="G11" t="s">
        <v>15</v>
      </c>
    </row>
    <row r="12" spans="1:7" ht="64.5" customHeight="1">
      <c r="A12" s="30" t="str">
        <f>IF(G12="Functional", "F_TR_" &amp; TEXT(ROW()-2, "00"), IF(G12="Non-Functional", "NF_TR_" &amp; TEXT(ROW()-2, "00"), ""))</f>
        <v>NF_TR_10</v>
      </c>
      <c r="B12" s="13" t="s">
        <v>29</v>
      </c>
      <c r="C12" s="32" t="s">
        <v>17</v>
      </c>
      <c r="D12" s="28"/>
      <c r="E12" s="14"/>
      <c r="F12" s="12" t="s">
        <v>30</v>
      </c>
      <c r="G12" t="s">
        <v>15</v>
      </c>
    </row>
    <row r="13" spans="1:7" ht="64.5" customHeight="1">
      <c r="A13" s="30" t="str">
        <f>IF(G13="Functional", "F_TR_" &amp; TEXT(ROW()-2, "00"), IF(G13="Non-Functional", "NF_TR_" &amp; TEXT(ROW()-2, "00"), ""))</f>
        <v>NF_TR_11</v>
      </c>
      <c r="B13" s="13" t="s">
        <v>31</v>
      </c>
      <c r="C13" s="32" t="s">
        <v>17</v>
      </c>
      <c r="D13" s="28"/>
      <c r="E13" s="14"/>
      <c r="F13" s="12" t="s">
        <v>32</v>
      </c>
      <c r="G13" t="s">
        <v>15</v>
      </c>
    </row>
    <row r="14" spans="1:7" ht="89.25" customHeight="1">
      <c r="A14" s="30" t="str">
        <f>IF(G14="Functional", "F_TR_" &amp; TEXT(ROW()-2, "00"), IF(G14="Non-Functional", "NF_TR_" &amp; TEXT(ROW()-2, "00"), ""))</f>
        <v>NF_TR_12</v>
      </c>
      <c r="B14" s="13" t="s">
        <v>33</v>
      </c>
      <c r="C14" s="32" t="s">
        <v>34</v>
      </c>
      <c r="D14" s="28"/>
      <c r="E14" s="14"/>
      <c r="F14" s="12" t="s">
        <v>35</v>
      </c>
      <c r="G14" t="s">
        <v>15</v>
      </c>
    </row>
    <row r="15" spans="1:7" ht="53.25" customHeight="1">
      <c r="A15" s="30" t="str">
        <f>IF(G15="Functional", "F_TR_" &amp; TEXT(ROW()-2, "00"), IF(G15="Non-Functional", "NF_TR_" &amp; TEXT(ROW()-2, "00"), ""))</f>
        <v>NF_TR_13</v>
      </c>
      <c r="B15" s="12" t="s">
        <v>36</v>
      </c>
      <c r="C15" s="18" t="s">
        <v>37</v>
      </c>
      <c r="D15" s="29"/>
      <c r="E15" s="15"/>
      <c r="F15" s="12" t="s">
        <v>38</v>
      </c>
      <c r="G15" t="s">
        <v>15</v>
      </c>
    </row>
    <row r="16" spans="1:7" ht="51" customHeight="1">
      <c r="A16" s="30" t="str">
        <f>IF(G16="Functional", "F_TR_" &amp; TEXT(ROW()-2, "00"), IF(G16="Non-Functional", "NF_TR_" &amp; TEXT(ROW()-2, "00"), ""))</f>
        <v>NF_TR_14</v>
      </c>
      <c r="B16" s="12" t="s">
        <v>39</v>
      </c>
      <c r="C16" s="18" t="s">
        <v>37</v>
      </c>
      <c r="D16" s="29"/>
      <c r="E16" s="15"/>
      <c r="F16" s="12"/>
      <c r="G16" t="s">
        <v>15</v>
      </c>
    </row>
    <row r="17" spans="1:7" ht="51.75" customHeight="1">
      <c r="A17" s="30" t="str">
        <f>IF(G17="Functional", "F_TR_" &amp; TEXT(ROW()-2, "00"), IF(G17="Non-Functional", "NF_TR_" &amp; TEXT(ROW()-2, "00"), ""))</f>
        <v>NF_TR_15</v>
      </c>
      <c r="B17" s="12" t="s">
        <v>40</v>
      </c>
      <c r="C17" s="18" t="s">
        <v>37</v>
      </c>
      <c r="D17" s="29"/>
      <c r="E17" s="12"/>
      <c r="F17" s="12" t="s">
        <v>41</v>
      </c>
      <c r="G17" t="s">
        <v>15</v>
      </c>
    </row>
    <row r="18" spans="1:7" ht="66.75" customHeight="1">
      <c r="A18" s="30" t="str">
        <f>IF(G18="Functional", "F_TR_" &amp; TEXT(ROW()-2, "00"), IF(G18="Non-Functional", "NF_TR_" &amp; TEXT(ROW()-2, "00"), ""))</f>
        <v>F_TR_16</v>
      </c>
      <c r="B18" s="12" t="s">
        <v>42</v>
      </c>
      <c r="C18" s="18" t="s">
        <v>37</v>
      </c>
      <c r="D18" s="29"/>
      <c r="E18" s="12"/>
      <c r="F18" s="12" t="s">
        <v>43</v>
      </c>
      <c r="G18" t="s">
        <v>10</v>
      </c>
    </row>
    <row r="19" spans="1:7" ht="112.5" customHeight="1">
      <c r="A19" s="30" t="str">
        <f>IF(G19="Functional", "F_TR_" &amp; TEXT(ROW()-2, "00"), IF(G19="Non-Functional", "NF_TR_" &amp; TEXT(ROW()-2, "00"), ""))</f>
        <v>NF_TR_17</v>
      </c>
      <c r="B19" s="12" t="s">
        <v>44</v>
      </c>
      <c r="C19" s="18" t="s">
        <v>45</v>
      </c>
      <c r="D19" s="29"/>
      <c r="E19" s="12"/>
      <c r="F19" s="12" t="s">
        <v>46</v>
      </c>
      <c r="G19" t="s">
        <v>15</v>
      </c>
    </row>
    <row r="20" spans="1:7" ht="102" customHeight="1">
      <c r="A20" s="30" t="str">
        <f>IF(G20="Functional", "F_TR_" &amp; TEXT(ROW()-2, "00"), IF(G20="Non-Functional", "NF_TR_" &amp; TEXT(ROW()-2, "00"), ""))</f>
        <v>F_TR_18</v>
      </c>
      <c r="B20" s="12" t="s">
        <v>47</v>
      </c>
      <c r="C20" s="18" t="s">
        <v>45</v>
      </c>
      <c r="D20" s="29"/>
      <c r="E20" s="12"/>
      <c r="F20" s="12" t="s">
        <v>48</v>
      </c>
      <c r="G20" t="s">
        <v>10</v>
      </c>
    </row>
    <row r="21" spans="1:7" ht="49.5" customHeight="1">
      <c r="A21" s="30" t="str">
        <f>IF(G21="Functional", "F_TR_" &amp; TEXT(ROW()-2, "00"), IF(G21="Non-Functional", "NF_TR_" &amp; TEXT(ROW()-2, "00"), ""))</f>
        <v>NF_TR_19</v>
      </c>
      <c r="B21" s="12" t="s">
        <v>49</v>
      </c>
      <c r="C21" s="19" t="s">
        <v>50</v>
      </c>
      <c r="D21" s="29" t="s">
        <v>51</v>
      </c>
      <c r="E21" s="12" t="s">
        <v>12</v>
      </c>
      <c r="F21" s="12" t="s">
        <v>52</v>
      </c>
      <c r="G21" t="s">
        <v>15</v>
      </c>
    </row>
    <row r="22" spans="1:7" ht="85.5" customHeight="1">
      <c r="A22" s="30" t="str">
        <f>IF(G22="Functional", "F_TR_" &amp; TEXT(ROW()-2, "00"), IF(G22="Non-Functional", "NF_TR_" &amp; TEXT(ROW()-2, "00"), ""))</f>
        <v>F_TR_20</v>
      </c>
      <c r="B22" s="12" t="s">
        <v>53</v>
      </c>
      <c r="C22" s="19" t="s">
        <v>54</v>
      </c>
      <c r="D22" s="29" t="s">
        <v>51</v>
      </c>
      <c r="E22" s="12" t="s">
        <v>55</v>
      </c>
      <c r="F22" s="12"/>
      <c r="G22" t="s">
        <v>10</v>
      </c>
    </row>
    <row r="23" spans="1:7" ht="123.75" customHeight="1">
      <c r="A23" s="30" t="str">
        <f>IF(G23="Functional", "F_TR_" &amp; TEXT(ROW()-2, "00"), IF(G23="Non-Functional", "NF_TR_" &amp; TEXT(ROW()-2, "00"), ""))</f>
        <v>F_TR_21</v>
      </c>
      <c r="B23" s="12" t="s">
        <v>56</v>
      </c>
      <c r="C23" s="19" t="s">
        <v>50</v>
      </c>
      <c r="D23" s="29" t="s">
        <v>51</v>
      </c>
      <c r="E23" s="12" t="s">
        <v>57</v>
      </c>
      <c r="F23" s="12"/>
      <c r="G23" t="s">
        <v>10</v>
      </c>
    </row>
    <row r="24" spans="1:7" ht="61.5" customHeight="1">
      <c r="A24" s="30" t="str">
        <f>IF(G24="Functional", "F_TR_" &amp; TEXT(ROW()-2, "00"), IF(G24="Non-Functional", "NF_TR_" &amp; TEXT(ROW()-2, "00"), ""))</f>
        <v>F_TR_22</v>
      </c>
      <c r="B24" s="12" t="s">
        <v>58</v>
      </c>
      <c r="C24" s="19" t="s">
        <v>50</v>
      </c>
      <c r="D24" s="29" t="s">
        <v>51</v>
      </c>
      <c r="E24" s="12" t="s">
        <v>59</v>
      </c>
      <c r="F24" s="12" t="s">
        <v>60</v>
      </c>
      <c r="G24" t="s">
        <v>10</v>
      </c>
    </row>
    <row r="25" spans="1:7" ht="72.75" customHeight="1">
      <c r="A25" s="30" t="str">
        <f>IF(G25="Functional", "F_TR_" &amp; TEXT(ROW()-2, "00"), IF(G25="Non-Functional", "NF_TR_" &amp; TEXT(ROW()-2, "00"), ""))</f>
        <v>F_TR_23</v>
      </c>
      <c r="B25" s="12" t="s">
        <v>61</v>
      </c>
      <c r="C25" s="19" t="s">
        <v>50</v>
      </c>
      <c r="D25" s="29" t="s">
        <v>51</v>
      </c>
      <c r="E25" s="12" t="s">
        <v>62</v>
      </c>
      <c r="F25" s="12" t="s">
        <v>63</v>
      </c>
      <c r="G25" t="s">
        <v>10</v>
      </c>
    </row>
    <row r="26" spans="1:7" ht="50.25" customHeight="1">
      <c r="A26" s="30" t="str">
        <f>IF(G26="Functional", "F_TR_" &amp; TEXT(ROW()-2, "00"), IF(G26="Non-Functional", "NF_TR_" &amp; TEXT(ROW()-2, "00"), ""))</f>
        <v>F_TR_24</v>
      </c>
      <c r="B26" s="12" t="s">
        <v>64</v>
      </c>
      <c r="C26" s="19" t="s">
        <v>50</v>
      </c>
      <c r="D26" s="29" t="s">
        <v>51</v>
      </c>
      <c r="E26" s="14"/>
      <c r="F26" s="12" t="s">
        <v>65</v>
      </c>
      <c r="G26" t="s">
        <v>10</v>
      </c>
    </row>
    <row r="27" spans="1:7" ht="54.75" customHeight="1">
      <c r="A27" s="30" t="str">
        <f>IF(G27="Functional", "F_TR_" &amp; TEXT(ROW()-2, "00"), IF(G27="Non-Functional", "NF_TR_" &amp; TEXT(ROW()-2, "00"), ""))</f>
        <v>F_TR_25</v>
      </c>
      <c r="B27" s="12" t="s">
        <v>66</v>
      </c>
      <c r="C27" s="20" t="s">
        <v>54</v>
      </c>
      <c r="D27" s="29" t="s">
        <v>51</v>
      </c>
      <c r="E27" s="14"/>
      <c r="F27" s="12" t="s">
        <v>67</v>
      </c>
      <c r="G27" t="s">
        <v>10</v>
      </c>
    </row>
    <row r="28" spans="1:7" ht="159.75" customHeight="1">
      <c r="A28" s="30" t="str">
        <f>IF(G28="Functional", "F_TR_" &amp; TEXT(ROW()-2, "00"), IF(G28="Non-Functional", "NF_TR_" &amp; TEXT(ROW()-2, "00"), ""))</f>
        <v>F_TR_26</v>
      </c>
      <c r="B28" s="12" t="s">
        <v>68</v>
      </c>
      <c r="C28" s="19" t="s">
        <v>69</v>
      </c>
      <c r="D28" s="29" t="s">
        <v>70</v>
      </c>
      <c r="E28" s="12" t="s">
        <v>71</v>
      </c>
      <c r="F28" s="12" t="s">
        <v>72</v>
      </c>
      <c r="G28" t="s">
        <v>10</v>
      </c>
    </row>
    <row r="29" spans="1:7" ht="62.25" customHeight="1">
      <c r="A29" s="30" t="str">
        <f>IF(G29="Functional", "F_TR_" &amp; TEXT(ROW()-2, "00"), IF(G29="Non-Functional", "NF_TR_" &amp; TEXT(ROW()-2, "00"), ""))</f>
        <v>F_TR_27</v>
      </c>
      <c r="B29" s="12" t="s">
        <v>73</v>
      </c>
      <c r="C29" s="19" t="s">
        <v>69</v>
      </c>
      <c r="D29" s="29" t="s">
        <v>70</v>
      </c>
      <c r="E29" s="14"/>
      <c r="F29" s="12"/>
      <c r="G29" t="s">
        <v>10</v>
      </c>
    </row>
    <row r="30" spans="1:7" ht="62.25" customHeight="1">
      <c r="A30" s="30" t="str">
        <f>IF(G30="Functional", "F_TR_" &amp; TEXT(ROW()-2, "00"), IF(G30="Non-Functional", "NF_TR_" &amp; TEXT(ROW()-2, "00"), ""))</f>
        <v>F_TR_28</v>
      </c>
      <c r="B30" s="12" t="s">
        <v>74</v>
      </c>
      <c r="C30" s="19" t="s">
        <v>69</v>
      </c>
      <c r="D30" s="29" t="s">
        <v>75</v>
      </c>
      <c r="E30" s="14"/>
      <c r="F30" s="12" t="s">
        <v>76</v>
      </c>
      <c r="G30" t="s">
        <v>10</v>
      </c>
    </row>
    <row r="31" spans="1:7" ht="44.25" customHeight="1">
      <c r="A31" s="30" t="str">
        <f>IF(G31="Functional", "F_TR_" &amp; TEXT(ROW()-2, "00"), IF(G31="Non-Functional", "NF_TR_" &amp; TEXT(ROW()-2, "00"), ""))</f>
        <v>F_TR_29</v>
      </c>
      <c r="B31" s="12" t="s">
        <v>77</v>
      </c>
      <c r="C31" s="19" t="s">
        <v>69</v>
      </c>
      <c r="D31" s="29" t="s">
        <v>51</v>
      </c>
      <c r="E31" s="14"/>
      <c r="F31" s="12" t="s">
        <v>78</v>
      </c>
      <c r="G31" t="s">
        <v>10</v>
      </c>
    </row>
    <row r="32" spans="1:7" ht="62.25" customHeight="1">
      <c r="A32" s="30" t="str">
        <f>IF(G32="Functional", "F_TR_" &amp; TEXT(ROW()-2, "00"), IF(G32="Non-Functional", "NF_TR_" &amp; TEXT(ROW()-2, "00"), ""))</f>
        <v>F_TR_30</v>
      </c>
      <c r="B32" s="33" t="s">
        <v>79</v>
      </c>
      <c r="C32" s="19" t="s">
        <v>54</v>
      </c>
      <c r="D32" s="29" t="s">
        <v>51</v>
      </c>
      <c r="E32" s="14"/>
      <c r="F32" s="12"/>
      <c r="G32" t="s">
        <v>10</v>
      </c>
    </row>
    <row r="33" spans="1:7" ht="77.25" customHeight="1">
      <c r="A33" s="30" t="str">
        <f>IF(G33="Functional", "F_TR_" &amp; TEXT(ROW()-2, "00"), IF(G33="Non-Functional", "NF_TR_" &amp; TEXT(ROW()-2, "00"), ""))</f>
        <v>F_TR_31</v>
      </c>
      <c r="B33" s="12" t="s">
        <v>80</v>
      </c>
      <c r="C33" s="31" t="s">
        <v>81</v>
      </c>
      <c r="D33" s="29" t="s">
        <v>82</v>
      </c>
      <c r="E33" s="12" t="s">
        <v>83</v>
      </c>
      <c r="F33" s="12" t="s">
        <v>84</v>
      </c>
      <c r="G33" t="s">
        <v>10</v>
      </c>
    </row>
    <row r="34" spans="1:7" ht="198" customHeight="1">
      <c r="A34" s="30" t="str">
        <f>IF(G34="Functional", "F_TR_" &amp; TEXT(ROW()-2, "00"), IF(G34="Non-Functional", "NF_TR_" &amp; TEXT(ROW()-2, "00"), ""))</f>
        <v>F_TR_32</v>
      </c>
      <c r="B34" s="34" t="s">
        <v>85</v>
      </c>
      <c r="C34" s="21" t="s">
        <v>81</v>
      </c>
      <c r="D34" s="29" t="s">
        <v>82</v>
      </c>
      <c r="E34" s="12" t="s">
        <v>86</v>
      </c>
      <c r="F34" s="12" t="s">
        <v>87</v>
      </c>
      <c r="G34" t="s">
        <v>10</v>
      </c>
    </row>
    <row r="35" spans="1:7" ht="39" customHeight="1">
      <c r="A35" s="30" t="str">
        <f>IF(G35="Functional", "F_TR_" &amp; TEXT(ROW()-2, "00"), IF(G35="Non-Functional", "NF_TR_" &amp; TEXT(ROW()-2, "00"), ""))</f>
        <v>F_TR_33</v>
      </c>
      <c r="B35" s="12" t="s">
        <v>88</v>
      </c>
      <c r="C35" s="21" t="s">
        <v>81</v>
      </c>
      <c r="D35" s="29" t="s">
        <v>82</v>
      </c>
      <c r="E35" s="12" t="s">
        <v>89</v>
      </c>
      <c r="F35" s="12"/>
      <c r="G35" t="s">
        <v>10</v>
      </c>
    </row>
    <row r="36" spans="1:7" ht="73.5" customHeight="1">
      <c r="A36" s="30" t="str">
        <f>IF(G36="Functional", "F_TR_" &amp; TEXT(ROW()-2, "00"), IF(G36="Non-Functional", "NF_TR_" &amp; TEXT(ROW()-2, "00"), ""))</f>
        <v>NF_TR_34</v>
      </c>
      <c r="B36" s="12" t="s">
        <v>90</v>
      </c>
      <c r="C36" s="22" t="s">
        <v>91</v>
      </c>
      <c r="D36" s="29" t="s">
        <v>92</v>
      </c>
      <c r="E36" s="14"/>
      <c r="F36" s="12" t="s">
        <v>93</v>
      </c>
      <c r="G36" t="s">
        <v>15</v>
      </c>
    </row>
    <row r="37" spans="1:7" ht="54" customHeight="1">
      <c r="A37" s="30" t="str">
        <f>IF(G37="Functional", "F_TR_" &amp; TEXT(ROW()-2, "00"), IF(G37="Non-Functional", "NF_TR_" &amp; TEXT(ROW()-2, "00"), ""))</f>
        <v>F_TR_35</v>
      </c>
      <c r="B37" s="12" t="s">
        <v>94</v>
      </c>
      <c r="C37" s="22" t="s">
        <v>91</v>
      </c>
      <c r="D37" s="29" t="s">
        <v>92</v>
      </c>
      <c r="E37" s="14"/>
      <c r="F37" s="12" t="s">
        <v>95</v>
      </c>
      <c r="G37" t="s">
        <v>10</v>
      </c>
    </row>
    <row r="38" spans="1:7" ht="45" customHeight="1">
      <c r="A38" s="30" t="str">
        <f>IF(G38="Functional", "F_TR_" &amp; TEXT(ROW()-2, "00"), IF(G38="Non-Functional", "NF_TR_" &amp; TEXT(ROW()-2, "00"), ""))</f>
        <v>F_TR_36</v>
      </c>
      <c r="B38" s="12" t="s">
        <v>96</v>
      </c>
      <c r="C38" s="22" t="s">
        <v>91</v>
      </c>
      <c r="D38" s="29" t="s">
        <v>92</v>
      </c>
      <c r="E38" s="14"/>
      <c r="F38" s="12"/>
      <c r="G38" t="s">
        <v>10</v>
      </c>
    </row>
    <row r="39" spans="1:7" ht="37.5" customHeight="1">
      <c r="A39" s="30" t="str">
        <f>IF(G39="Functional", "F_TR_" &amp; TEXT(ROW()-2, "00"), IF(G39="Non-Functional", "NF_TR_" &amp; TEXT(ROW()-2, "00"), ""))</f>
        <v>F_TR_37</v>
      </c>
      <c r="B39" s="12" t="s">
        <v>97</v>
      </c>
      <c r="C39" s="22" t="s">
        <v>91</v>
      </c>
      <c r="D39" s="29" t="s">
        <v>92</v>
      </c>
      <c r="E39" s="14"/>
      <c r="F39" s="12" t="s">
        <v>98</v>
      </c>
      <c r="G39" t="s">
        <v>10</v>
      </c>
    </row>
    <row r="40" spans="1:7" ht="48" customHeight="1">
      <c r="A40" s="30" t="str">
        <f>IF(G40="Functional", "F_TR_" &amp; TEXT(ROW()-2, "00"), IF(G40="Non-Functional", "NF_TR_" &amp; TEXT(ROW()-2, "00"), ""))</f>
        <v>F_TR_38</v>
      </c>
      <c r="B40" s="12" t="s">
        <v>99</v>
      </c>
      <c r="C40" s="22" t="s">
        <v>91</v>
      </c>
      <c r="D40" s="29" t="s">
        <v>92</v>
      </c>
      <c r="E40" s="14"/>
      <c r="F40" s="12"/>
      <c r="G40" t="s">
        <v>10</v>
      </c>
    </row>
    <row r="41" spans="1:7" ht="49.5" customHeight="1">
      <c r="A41" s="30" t="str">
        <f>IF(G41="Functional", "F_TR_" &amp; TEXT(ROW()-2, "00"), IF(G41="Non-Functional", "NF_TR_" &amp; TEXT(ROW()-2, "00"), ""))</f>
        <v>F_TR_39</v>
      </c>
      <c r="B41" s="12" t="s">
        <v>100</v>
      </c>
      <c r="C41" s="22" t="s">
        <v>91</v>
      </c>
      <c r="D41" s="29" t="s">
        <v>92</v>
      </c>
      <c r="E41" s="14"/>
      <c r="F41" s="12" t="s">
        <v>101</v>
      </c>
      <c r="G41" t="s">
        <v>10</v>
      </c>
    </row>
    <row r="42" spans="1:7" ht="67.5" customHeight="1">
      <c r="A42" s="30" t="str">
        <f>IF(G42="Functional", "F_TR_" &amp; TEXT(ROW()-2, "00"), IF(G42="Non-Functional", "NF_TR_" &amp; TEXT(ROW()-2, "00"), ""))</f>
        <v>NF_TR_40</v>
      </c>
      <c r="B42" s="37" t="s">
        <v>102</v>
      </c>
      <c r="C42" s="23" t="s">
        <v>103</v>
      </c>
      <c r="D42" s="29" t="s">
        <v>104</v>
      </c>
      <c r="E42" s="14"/>
      <c r="F42" s="12" t="s">
        <v>105</v>
      </c>
      <c r="G42" t="s">
        <v>15</v>
      </c>
    </row>
    <row r="43" spans="1:7" ht="76.5" customHeight="1">
      <c r="A43" s="30" t="str">
        <f>IF(G43="Functional", "F_TR_" &amp; TEXT(ROW()-2, "00"), IF(G43="Non-Functional", "NF_TR_" &amp; TEXT(ROW()-2, "00"), ""))</f>
        <v>F_TR_41</v>
      </c>
      <c r="B43" s="37" t="s">
        <v>106</v>
      </c>
      <c r="C43" s="23" t="s">
        <v>107</v>
      </c>
      <c r="D43" s="29" t="s">
        <v>104</v>
      </c>
      <c r="E43" s="14"/>
      <c r="F43" s="12"/>
      <c r="G43" t="s">
        <v>10</v>
      </c>
    </row>
    <row r="44" spans="1:7" ht="48.75" customHeight="1">
      <c r="A44" s="30" t="str">
        <f>IF(G44="Functional", "F_TR_" &amp; TEXT(ROW()-2, "00"), IF(G44="Non-Functional", "NF_TR_" &amp; TEXT(ROW()-2, "00"), ""))</f>
        <v>NF_TR_42</v>
      </c>
      <c r="B44" s="37" t="s">
        <v>108</v>
      </c>
      <c r="C44" s="24" t="s">
        <v>109</v>
      </c>
      <c r="D44" s="29" t="s">
        <v>104</v>
      </c>
      <c r="E44" s="14"/>
      <c r="F44" s="12"/>
      <c r="G44" t="s">
        <v>15</v>
      </c>
    </row>
    <row r="45" spans="1:7" ht="46.5" customHeight="1">
      <c r="A45" s="30" t="str">
        <f>IF(G45="Functional", "F_TR_" &amp; TEXT(ROW()-2, "00"), IF(G45="Non-Functional", "NF_TR_" &amp; TEXT(ROW()-2, "00"), ""))</f>
        <v>NF_TR_43</v>
      </c>
      <c r="B45" s="37" t="s">
        <v>110</v>
      </c>
      <c r="C45" s="24" t="s">
        <v>109</v>
      </c>
      <c r="D45" s="29" t="s">
        <v>104</v>
      </c>
      <c r="E45" s="14"/>
      <c r="F45" s="12"/>
      <c r="G45" t="s">
        <v>15</v>
      </c>
    </row>
    <row r="46" spans="1:7" ht="51" customHeight="1">
      <c r="A46" s="30" t="str">
        <f>IF(G46="Functional", "F_TR_" &amp; TEXT(ROW()-2, "00"), IF(G46="Non-Functional", "NF_TR_" &amp; TEXT(ROW()-2, "00"), ""))</f>
        <v>F_TR_44</v>
      </c>
      <c r="B46" s="37" t="s">
        <v>111</v>
      </c>
      <c r="C46" s="24" t="s">
        <v>109</v>
      </c>
      <c r="D46" s="29" t="s">
        <v>104</v>
      </c>
      <c r="E46" s="14"/>
      <c r="F46" s="12"/>
      <c r="G46" t="s">
        <v>10</v>
      </c>
    </row>
    <row r="47" spans="1:7" ht="57" customHeight="1">
      <c r="A47" s="30" t="str">
        <f>IF(G47="Functional", "F_TR_" &amp; TEXT(ROW()-2, "00"), IF(G47="Non-Functional", "NF_TR_" &amp; TEXT(ROW()-2, "00"), ""))</f>
        <v>F_TR_45</v>
      </c>
      <c r="B47" s="37" t="s">
        <v>112</v>
      </c>
      <c r="C47" s="24" t="s">
        <v>113</v>
      </c>
      <c r="D47" s="29" t="s">
        <v>104</v>
      </c>
      <c r="E47" s="14"/>
      <c r="F47" s="12"/>
      <c r="G47" t="s">
        <v>10</v>
      </c>
    </row>
    <row r="48" spans="1:7" ht="65.25" customHeight="1">
      <c r="A48" s="30" t="str">
        <f>IF(G48="Functional", "F_TR_" &amp; TEXT(ROW()-2, "00"), IF(G48="Non-Functional", "NF_TR_" &amp; TEXT(ROW()-2, "00"), ""))</f>
        <v>F_TR_46</v>
      </c>
      <c r="B48" s="12" t="s">
        <v>114</v>
      </c>
      <c r="C48" s="25" t="s">
        <v>115</v>
      </c>
      <c r="D48" s="29" t="s">
        <v>116</v>
      </c>
      <c r="E48" s="14"/>
      <c r="F48" s="12" t="s">
        <v>117</v>
      </c>
      <c r="G48" t="s">
        <v>10</v>
      </c>
    </row>
    <row r="49" spans="1:7" ht="35.25" customHeight="1">
      <c r="A49" s="30" t="str">
        <f>IF(G49="Functional", "F_TR_" &amp; TEXT(ROW()-2, "00"), IF(G49="Non-Functional", "NF_TR_" &amp; TEXT(ROW()-2, "00"), ""))</f>
        <v>F_TR_47</v>
      </c>
      <c r="B49" s="12" t="s">
        <v>118</v>
      </c>
      <c r="C49" s="26" t="s">
        <v>119</v>
      </c>
      <c r="D49" s="29" t="s">
        <v>120</v>
      </c>
      <c r="E49" s="14"/>
      <c r="F49" s="12"/>
      <c r="G49" t="s">
        <v>10</v>
      </c>
    </row>
    <row r="50" spans="1:7" ht="38.25" customHeight="1">
      <c r="A50" s="30" t="str">
        <f>IF(G50="Functional", "F_TR_" &amp; TEXT(ROW()-2, "00"), IF(G50="Non-Functional", "NF_TR_" &amp; TEXT(ROW()-2, "00"), ""))</f>
        <v>F_TR_48</v>
      </c>
      <c r="B50" s="12" t="s">
        <v>121</v>
      </c>
      <c r="C50" s="26" t="s">
        <v>119</v>
      </c>
      <c r="D50" s="29" t="s">
        <v>122</v>
      </c>
      <c r="E50" s="14"/>
      <c r="F50" s="12" t="s">
        <v>123</v>
      </c>
      <c r="G50" t="s">
        <v>10</v>
      </c>
    </row>
    <row r="51" spans="1:7" ht="51" customHeight="1">
      <c r="A51" s="30" t="str">
        <f>IF(G51="Functional", "F_TR_" &amp; TEXT(ROW()-2, "00"), IF(G51="Non-Functional", "NF_TR_" &amp; TEXT(ROW()-2, "00"), ""))</f>
        <v>F_TR_49</v>
      </c>
      <c r="B51" s="12" t="s">
        <v>124</v>
      </c>
      <c r="C51" s="26" t="s">
        <v>125</v>
      </c>
      <c r="D51" s="29" t="s">
        <v>120</v>
      </c>
      <c r="E51" s="14"/>
      <c r="F51" s="12" t="s">
        <v>126</v>
      </c>
      <c r="G51" t="s">
        <v>10</v>
      </c>
    </row>
    <row r="52" spans="1:7" ht="89.25" customHeight="1">
      <c r="A52" s="30" t="str">
        <f>IF(G52="Functional", "F_TR_" &amp; TEXT(ROW()-2, "00"), IF(G52="Non-Functional", "NF_TR_" &amp; TEXT(ROW()-2, "00"), ""))</f>
        <v>F_TR_50</v>
      </c>
      <c r="B52" s="12" t="s">
        <v>127</v>
      </c>
      <c r="C52" s="26" t="s">
        <v>125</v>
      </c>
      <c r="D52" s="29" t="s">
        <v>120</v>
      </c>
      <c r="E52" s="14"/>
      <c r="F52" s="12" t="s">
        <v>128</v>
      </c>
      <c r="G52" t="s">
        <v>10</v>
      </c>
    </row>
    <row r="53" spans="1:7" ht="79.5" customHeight="1">
      <c r="A53" s="30" t="str">
        <f>IF(G53="Functional", "F_TR_" &amp; TEXT(ROW()-2, "00"), IF(G53="Non-Functional", "NF_TR_" &amp; TEXT(ROW()-2, "00"), ""))</f>
        <v>F_TR_51</v>
      </c>
      <c r="B53" s="12" t="s">
        <v>129</v>
      </c>
      <c r="C53" s="26" t="s">
        <v>125</v>
      </c>
      <c r="D53" s="29" t="s">
        <v>120</v>
      </c>
      <c r="E53" s="14"/>
      <c r="F53" s="12" t="s">
        <v>130</v>
      </c>
      <c r="G53" t="s">
        <v>10</v>
      </c>
    </row>
    <row r="54" spans="1:7" ht="49.5" customHeight="1">
      <c r="A54" s="30" t="str">
        <f>IF(G54="Functional", "F_TR_" &amp; TEXT(ROW()-2, "00"), IF(G54="Non-Functional", "NF_TR_" &amp; TEXT(ROW()-2, "00"), ""))</f>
        <v>F_TR_52</v>
      </c>
      <c r="B54" s="12" t="s">
        <v>131</v>
      </c>
      <c r="C54" s="26" t="s">
        <v>125</v>
      </c>
      <c r="D54" s="29" t="s">
        <v>120</v>
      </c>
      <c r="E54" s="14"/>
      <c r="F54" s="12" t="s">
        <v>132</v>
      </c>
      <c r="G54" t="s">
        <v>10</v>
      </c>
    </row>
    <row r="55" spans="1:7" ht="72" customHeight="1">
      <c r="A55" s="30" t="str">
        <f>IF(G55="Functional", "F_TR_" &amp; TEXT(ROW()-2, "00"), IF(G55="Non-Functional", "NF_TR_" &amp; TEXT(ROW()-2, "00"), ""))</f>
        <v>F_TR_53</v>
      </c>
      <c r="B55" s="12" t="s">
        <v>133</v>
      </c>
      <c r="C55" s="25" t="s">
        <v>115</v>
      </c>
      <c r="D55" s="29" t="s">
        <v>122</v>
      </c>
      <c r="E55" s="14"/>
      <c r="F55" s="12" t="s">
        <v>134</v>
      </c>
      <c r="G55" t="s">
        <v>10</v>
      </c>
    </row>
    <row r="56" spans="1:7" ht="12.75">
      <c r="E56" s="1"/>
      <c r="F56" s="2"/>
    </row>
    <row r="57" spans="1:7" ht="12.75" customHeight="1">
      <c r="B57" s="4"/>
      <c r="C57" s="35"/>
      <c r="E57" s="1"/>
      <c r="F57" s="2"/>
    </row>
    <row r="58" spans="1:7" ht="12" customHeight="1">
      <c r="B58" s="4"/>
      <c r="E58" s="1"/>
      <c r="F58" s="2"/>
    </row>
    <row r="59" spans="1:7" ht="13.5" customHeight="1">
      <c r="B59" s="4"/>
      <c r="E59" s="1"/>
      <c r="F59" s="2"/>
    </row>
    <row r="60" spans="1:7" ht="12.75">
      <c r="B60" s="3"/>
      <c r="E60" s="1"/>
      <c r="F60" s="2"/>
    </row>
    <row r="61" spans="1:7" ht="12.75">
      <c r="B61" s="3"/>
      <c r="E61" s="1"/>
      <c r="F61" s="2"/>
    </row>
    <row r="62" spans="1:7" ht="12.75">
      <c r="B62" s="3"/>
      <c r="E62" s="1"/>
      <c r="F62" s="2"/>
    </row>
    <row r="63" spans="1:7" ht="12.75">
      <c r="B63" s="3"/>
      <c r="E63" s="1"/>
      <c r="F63" s="2"/>
    </row>
    <row r="64" spans="1:7" ht="12.75">
      <c r="B64" s="3"/>
      <c r="E64" s="1"/>
      <c r="F64" s="2"/>
    </row>
    <row r="65" spans="1:6" ht="12.75">
      <c r="B65" s="3"/>
      <c r="E65" s="1"/>
      <c r="F65" s="2"/>
    </row>
    <row r="66" spans="1:6" ht="12.75">
      <c r="B66" s="3"/>
      <c r="E66" s="1"/>
      <c r="F66" s="2"/>
    </row>
    <row r="67" spans="1:6" ht="12.75">
      <c r="B67" s="3"/>
      <c r="E67" s="1"/>
      <c r="F67" s="2"/>
    </row>
    <row r="68" spans="1:6" ht="12.75">
      <c r="B68" s="3"/>
      <c r="E68" s="1"/>
      <c r="F68" s="2"/>
    </row>
    <row r="69" spans="1:6" ht="12.75">
      <c r="E69" s="1"/>
      <c r="F69" s="2"/>
    </row>
    <row r="70" spans="1:6" ht="12.75">
      <c r="A70" s="5"/>
      <c r="B70" s="4"/>
      <c r="C70" s="6"/>
      <c r="E70" s="1"/>
    </row>
    <row r="71" spans="1:6" ht="12.75">
      <c r="C71" s="6"/>
    </row>
    <row r="72" spans="1:6" ht="12.75">
      <c r="C72" s="6"/>
    </row>
    <row r="73" spans="1:6" ht="12.75">
      <c r="B73" s="6"/>
      <c r="C73" s="6"/>
    </row>
    <row r="74" spans="1:6" ht="12.75">
      <c r="B74" s="6"/>
      <c r="C74" s="6"/>
    </row>
    <row r="75" spans="1:6" ht="12.75">
      <c r="B75" s="6"/>
      <c r="C75" s="6"/>
    </row>
    <row r="76" spans="1:6" ht="12.75">
      <c r="B76" s="6"/>
      <c r="C76" s="6"/>
    </row>
    <row r="77" spans="1:6" ht="12.75">
      <c r="B77" s="6"/>
      <c r="C77" s="6"/>
    </row>
    <row r="78" spans="1:6" ht="12.75">
      <c r="B78" s="6"/>
      <c r="C78" s="6"/>
    </row>
    <row r="79" spans="1:6" ht="12.75">
      <c r="B79" s="6"/>
      <c r="C79" s="6"/>
    </row>
    <row r="80" spans="1:6" ht="12.75">
      <c r="B80" s="6"/>
      <c r="C80" s="6"/>
    </row>
    <row r="81" spans="2:3" ht="12.75">
      <c r="B81" s="6"/>
      <c r="C81" s="6"/>
    </row>
    <row r="82" spans="2:3" ht="12.75">
      <c r="B82" s="6"/>
      <c r="C82" s="6"/>
    </row>
    <row r="83" spans="2:3" ht="12.75">
      <c r="B83" s="6"/>
      <c r="C83" s="6"/>
    </row>
    <row r="84" spans="2:3" ht="12.75">
      <c r="B84" s="6"/>
      <c r="C84" s="6"/>
    </row>
    <row r="85" spans="2:3" ht="12.75">
      <c r="B85" s="6"/>
      <c r="C85" s="6"/>
    </row>
    <row r="86" spans="2:3" ht="12.75">
      <c r="B86" s="6"/>
      <c r="C86" s="6"/>
    </row>
    <row r="87" spans="2:3" ht="12.75">
      <c r="B87" s="6"/>
      <c r="C87" s="6"/>
    </row>
    <row r="88" spans="2:3" ht="12.75">
      <c r="B88" s="6"/>
      <c r="C88" s="6"/>
    </row>
    <row r="89" spans="2:3" ht="12.75">
      <c r="B89" s="6"/>
      <c r="C89" s="6"/>
    </row>
    <row r="90" spans="2:3" ht="12.75">
      <c r="B90" s="6"/>
      <c r="C90" s="6"/>
    </row>
    <row r="91" spans="2:3" ht="12.75">
      <c r="B91" s="6"/>
      <c r="C91" s="6"/>
    </row>
    <row r="92" spans="2:3" ht="12.75">
      <c r="B92" s="6"/>
      <c r="C92" s="6"/>
    </row>
    <row r="93" spans="2:3" ht="12.75">
      <c r="B93" s="6"/>
      <c r="C93" s="6"/>
    </row>
    <row r="94" spans="2:3" ht="12.75">
      <c r="B94" s="6"/>
      <c r="C94" s="6"/>
    </row>
    <row r="95" spans="2:3" ht="12.75">
      <c r="B95" s="6"/>
      <c r="C95" s="6"/>
    </row>
    <row r="96" spans="2:3" ht="12.75">
      <c r="B96" s="6"/>
      <c r="C96" s="6"/>
    </row>
    <row r="97" spans="2:3" ht="12.75">
      <c r="B97" s="6"/>
      <c r="C97" s="6"/>
    </row>
    <row r="98" spans="2:3" ht="12.75">
      <c r="B98" s="6"/>
      <c r="C98" s="6"/>
    </row>
    <row r="99" spans="2:3" ht="12.75">
      <c r="B99" s="6"/>
      <c r="C99" s="6"/>
    </row>
    <row r="100" spans="2:3" ht="12.75">
      <c r="B100" s="6"/>
      <c r="C100" s="6"/>
    </row>
    <row r="101" spans="2:3" ht="12.75">
      <c r="B101" s="6"/>
      <c r="C101" s="6"/>
    </row>
    <row r="102" spans="2:3" ht="12.75">
      <c r="B102" s="6"/>
      <c r="C102" s="6"/>
    </row>
    <row r="103" spans="2:3" ht="12.75">
      <c r="B103" s="4"/>
      <c r="C103" s="4"/>
    </row>
    <row r="104" spans="2:3" ht="12.75">
      <c r="B104" s="4"/>
      <c r="C104" s="4"/>
    </row>
  </sheetData>
  <mergeCells count="1">
    <mergeCell ref="A1:G1"/>
  </mergeCells>
  <printOptions horizontalCentered="1" gridLines="1"/>
  <pageMargins left="0.7" right="0.7" top="0.75" bottom="0.75" header="0" footer="0"/>
  <pageSetup fitToHeight="0" pageOrder="overThenDown" orientation="landscape" cellComments="atEnd"/>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08b43f-bfac-4116-ae2f-2654f04dc4f2">
      <Terms xmlns="http://schemas.microsoft.com/office/infopath/2007/PartnerControls"/>
    </lcf76f155ced4ddcb4097134ff3c332f>
    <TaxCatchAll xmlns="f05f1c5d-c52e-4d54-83d1-a52e4aeefd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14F42BB571C174A8CFFD983452FCC05" ma:contentTypeVersion="13" ma:contentTypeDescription="Create a new document." ma:contentTypeScope="" ma:versionID="1f3dd09189d64c122fb44f2b86ec707c">
  <xsd:schema xmlns:xsd="http://www.w3.org/2001/XMLSchema" xmlns:xs="http://www.w3.org/2001/XMLSchema" xmlns:p="http://schemas.microsoft.com/office/2006/metadata/properties" xmlns:ns2="d608b43f-bfac-4116-ae2f-2654f04dc4f2" xmlns:ns3="f05f1c5d-c52e-4d54-83d1-a52e4aeefd52" targetNamespace="http://schemas.microsoft.com/office/2006/metadata/properties" ma:root="true" ma:fieldsID="19b7f95ca2173e72636c9aa2f8cf67ee" ns2:_="" ns3:_="">
    <xsd:import namespace="d608b43f-bfac-4116-ae2f-2654f04dc4f2"/>
    <xsd:import namespace="f05f1c5d-c52e-4d54-83d1-a52e4aeefd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8b43f-bfac-4116-ae2f-2654f04dc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1a16348-86a9-4153-a534-716e536704a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5f1c5d-c52e-4d54-83d1-a52e4aeefd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be773a3-2a48-487a-a9d1-73543309e2e9}" ma:internalName="TaxCatchAll" ma:showField="CatchAllData" ma:web="f05f1c5d-c52e-4d54-83d1-a52e4aeefd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105F05-1CA7-4F6D-888C-58F7D57D62AB}"/>
</file>

<file path=customXml/itemProps2.xml><?xml version="1.0" encoding="utf-8"?>
<ds:datastoreItem xmlns:ds="http://schemas.openxmlformats.org/officeDocument/2006/customXml" ds:itemID="{17227374-4686-41AD-965F-EA98F61A9B57}"/>
</file>

<file path=customXml/itemProps3.xml><?xml version="1.0" encoding="utf-8"?>
<ds:datastoreItem xmlns:ds="http://schemas.openxmlformats.org/officeDocument/2006/customXml" ds:itemID="{7832A2BA-BCD3-4D29-A21E-FC13160F2C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stavrosbouras</cp:lastModifiedBy>
  <cp:revision/>
  <dcterms:created xsi:type="dcterms:W3CDTF">2025-03-21T07:03:14Z</dcterms:created>
  <dcterms:modified xsi:type="dcterms:W3CDTF">2025-04-08T14:00:29Z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0x010100314F42BB571C174A8CFFD983452FCC05</vt:lpwstr>
  </property>
  <property fmtid="{D5CDD505-2E9C-101B-9397-08002B2CF9AE}" pid="3" name="MediaServiceImageTags">
    <vt:lpwstr/>
  </property>
</Properties>
</file>